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ml.chartshapes+xml"/>
  <Override PartName="/xl/charts/chartEx2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imulator_karpov\Excel\Excel portfolio\Новая папка\"/>
    </mc:Choice>
  </mc:AlternateContent>
  <xr:revisionPtr revIDLastSave="0" documentId="13_ncr:1_{3E333302-8C3E-4163-B729-B4531C53D4CA}" xr6:coauthVersionLast="47" xr6:coauthVersionMax="47" xr10:uidLastSave="{00000000-0000-0000-0000-000000000000}"/>
  <workbookProtection workbookAlgorithmName="SHA-512" workbookHashValue="9Mr7p1NyIJi9sX/lMeUF8qfLy2g/D4iwyblrf7VjSfbZ/25oXgjFbJmM1J0FvxTKInyYTotANk/2ECQWXeINrw==" workbookSaltValue="B3rkd2fCBNu8iNFbFU/CTg==" workbookSpinCount="100000" lockStructure="1"/>
  <bookViews>
    <workbookView xWindow="-110" yWindow="-110" windowWidth="25820" windowHeight="13900" activeTab="15" xr2:uid="{CFA039F2-E064-4711-8E28-71F04669F688}"/>
  </bookViews>
  <sheets>
    <sheet name="Cleaned_data_read_only" sheetId="2" r:id="rId1"/>
    <sheet name="LOS" sheetId="30" state="hidden" r:id="rId2"/>
    <sheet name="LOS1" sheetId="31" state="hidden" r:id="rId3"/>
    <sheet name="Longest Hospital Stay" sheetId="9" state="hidden" r:id="rId4"/>
    <sheet name="Shortest Hospital Stay" sheetId="27" state="hidden" r:id="rId5"/>
    <sheet name="Utilization Rate by State abs" sheetId="39" state="hidden" r:id="rId6"/>
    <sheet name="Quadrants of Efficiency" sheetId="38" state="hidden" r:id="rId7"/>
    <sheet name="Mortality Rate vs LOS" sheetId="41" state="hidden" r:id="rId8"/>
    <sheet name="Utilization Rate by State" sheetId="23" state="hidden" r:id="rId9"/>
    <sheet name="Efficiency_Index_Map" sheetId="36" state="hidden" r:id="rId10"/>
    <sheet name="Discharges per Inpatient Day" sheetId="24" state="hidden" r:id="rId11"/>
    <sheet name="ER Admition Analysis" sheetId="16" state="hidden" r:id="rId12"/>
    <sheet name="ER Admition Analysis table" sheetId="33" state="hidden" r:id="rId13"/>
    <sheet name="Inpatient Mortality Rate" sheetId="11" state="hidden" r:id="rId14"/>
    <sheet name="MOrtality Rate Visaul Table" sheetId="34" state="hidden" r:id="rId15"/>
    <sheet name="Dashboard" sheetId="26" r:id="rId16"/>
    <sheet name="State Level Data" sheetId="35" state="hidden" r:id="rId17"/>
    <sheet name="KPI" sheetId="29" state="hidden" r:id="rId18"/>
  </sheets>
  <definedNames>
    <definedName name="_xlnm._FilterDatabase" localSheetId="14" hidden="1">'MOrtality Rate Visaul Table'!$A$1:$B$54</definedName>
    <definedName name="_xlchart.v5.0" hidden="1">Efficiency_Index_Map!$A$1</definedName>
    <definedName name="_xlchart.v5.1" hidden="1">Efficiency_Index_Map!$A$2:$A$56</definedName>
    <definedName name="_xlchart.v5.2" hidden="1">Efficiency_Index_Map!$B$1</definedName>
    <definedName name="_xlchart.v5.3" hidden="1">Efficiency_Index_Map!$B$2:$B$56</definedName>
    <definedName name="_xlchart.v5.4" hidden="1">Efficiency_Index_Map!$A$1</definedName>
    <definedName name="_xlchart.v5.5" hidden="1">Efficiency_Index_Map!$A$2:$A$56</definedName>
    <definedName name="_xlchart.v5.6" hidden="1">Efficiency_Index_Map!$B$1</definedName>
    <definedName name="_xlchart.v5.7" hidden="1">Efficiency_Index_Map!$B$2:$B$56</definedName>
    <definedName name="ExternalData_1" localSheetId="0" hidden="1">Cleaned_data_read_only!$A$1:$M$53</definedName>
  </definedNames>
  <calcPr calcId="191029"/>
  <pivotCaches>
    <pivotCache cacheId="0" r:id="rId19"/>
    <pivotCache cacheId="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6" l="1"/>
  <c r="E2" i="35"/>
  <c r="E3" i="35"/>
  <c r="E4" i="35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C2" i="35"/>
  <c r="C3" i="35"/>
  <c r="C4" i="35"/>
  <c r="C5" i="35"/>
  <c r="C6" i="35"/>
  <c r="C7" i="35"/>
  <c r="C8" i="35"/>
  <c r="C9" i="35"/>
  <c r="C10" i="35"/>
  <c r="C11" i="35"/>
  <c r="C12" i="35"/>
  <c r="C13" i="35"/>
  <c r="H13" i="35" s="1"/>
  <c r="C14" i="35"/>
  <c r="H14" i="35" s="1"/>
  <c r="C15" i="35"/>
  <c r="H15" i="35" s="1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H38" i="35" s="1"/>
  <c r="C39" i="35"/>
  <c r="H39" i="35" s="1"/>
  <c r="C40" i="35"/>
  <c r="H40" i="35" s="1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J29" i="31"/>
  <c r="H18" i="24"/>
  <c r="U15" i="26" s="1"/>
  <c r="H19" i="24"/>
  <c r="U16" i="26" s="1"/>
  <c r="H20" i="24"/>
  <c r="U17" i="26" s="1"/>
  <c r="H21" i="24"/>
  <c r="U18" i="26" s="1"/>
  <c r="H6" i="24"/>
  <c r="R15" i="26" s="1"/>
  <c r="H7" i="24"/>
  <c r="R16" i="26" s="1"/>
  <c r="H8" i="24"/>
  <c r="R17" i="26" s="1"/>
  <c r="H9" i="24"/>
  <c r="R18" i="26" s="1"/>
  <c r="Q13" i="26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2" i="31"/>
  <c r="M25" i="31"/>
  <c r="M26" i="31"/>
  <c r="P3" i="26"/>
  <c r="M3" i="26"/>
  <c r="J3" i="26"/>
  <c r="G3" i="26"/>
  <c r="D3" i="26"/>
  <c r="H5" i="24"/>
  <c r="R14" i="26" s="1"/>
  <c r="G6" i="24"/>
  <c r="Q15" i="26" s="1"/>
  <c r="G7" i="24"/>
  <c r="Q16" i="26" s="1"/>
  <c r="G8" i="24"/>
  <c r="Q17" i="26" s="1"/>
  <c r="G9" i="24"/>
  <c r="Q18" i="26" s="1"/>
  <c r="G5" i="24"/>
  <c r="Q14" i="26" s="1"/>
  <c r="H17" i="24"/>
  <c r="U14" i="26" s="1"/>
  <c r="G18" i="24"/>
  <c r="T15" i="26" s="1"/>
  <c r="G19" i="24"/>
  <c r="T16" i="26" s="1"/>
  <c r="G20" i="24"/>
  <c r="T17" i="26" s="1"/>
  <c r="G21" i="24"/>
  <c r="T18" i="26" s="1"/>
  <c r="G17" i="24"/>
  <c r="T14" i="26" s="1"/>
  <c r="U13" i="26"/>
  <c r="T13" i="26"/>
  <c r="R13" i="26"/>
  <c r="L16" i="29"/>
  <c r="M18" i="29"/>
  <c r="M19" i="29"/>
  <c r="M17" i="29"/>
  <c r="N33" i="29"/>
  <c r="L20" i="29"/>
  <c r="L21" i="29"/>
  <c r="S41" i="29"/>
  <c r="S40" i="29"/>
  <c r="S39" i="29"/>
  <c r="N34" i="29"/>
  <c r="G54" i="29"/>
  <c r="H54" i="29"/>
  <c r="F54" i="29"/>
  <c r="L18" i="29" s="1"/>
  <c r="E54" i="29"/>
  <c r="L17" i="29" s="1"/>
  <c r="C54" i="29"/>
  <c r="B54" i="29"/>
  <c r="L15" i="29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2" i="2"/>
  <c r="D43" i="2"/>
  <c r="D44" i="2"/>
  <c r="D45" i="2"/>
  <c r="D46" i="2"/>
  <c r="D47" i="2"/>
  <c r="D48" i="2"/>
  <c r="D49" i="2"/>
  <c r="D50" i="2"/>
  <c r="D51" i="2"/>
  <c r="D52" i="2"/>
  <c r="D53" i="2"/>
  <c r="D41" i="2"/>
  <c r="F56" i="11"/>
  <c r="Q13" i="35" l="1"/>
  <c r="M13" i="35"/>
  <c r="P13" i="35"/>
  <c r="O13" i="35"/>
  <c r="N13" i="35"/>
  <c r="L13" i="35"/>
  <c r="K13" i="35"/>
  <c r="J13" i="35"/>
  <c r="P14" i="35"/>
  <c r="N14" i="35"/>
  <c r="Q14" i="35"/>
  <c r="O14" i="35"/>
  <c r="M14" i="35"/>
  <c r="L14" i="35"/>
  <c r="K14" i="35"/>
  <c r="J14" i="35"/>
  <c r="Q15" i="35"/>
  <c r="O15" i="35"/>
  <c r="P15" i="35"/>
  <c r="L15" i="35"/>
  <c r="M15" i="35"/>
  <c r="N15" i="35"/>
  <c r="K15" i="35"/>
  <c r="J15" i="35"/>
  <c r="Q38" i="35"/>
  <c r="J38" i="35"/>
  <c r="N38" i="35"/>
  <c r="P38" i="35"/>
  <c r="L38" i="35"/>
  <c r="O38" i="35"/>
  <c r="M38" i="35"/>
  <c r="K38" i="35"/>
  <c r="M39" i="35"/>
  <c r="J39" i="35"/>
  <c r="Q39" i="35"/>
  <c r="N39" i="35"/>
  <c r="K39" i="35"/>
  <c r="P39" i="35"/>
  <c r="O39" i="35"/>
  <c r="L39" i="35"/>
  <c r="Q40" i="35"/>
  <c r="M40" i="35"/>
  <c r="K40" i="35"/>
  <c r="O40" i="35"/>
  <c r="N40" i="35"/>
  <c r="P40" i="35"/>
  <c r="J40" i="35"/>
  <c r="L40" i="35"/>
  <c r="L30" i="31" a="1"/>
  <c r="L30" i="31" s="1"/>
  <c r="L29" i="31" s="1"/>
  <c r="J30" i="31" a="1"/>
  <c r="K30" i="31" a="1"/>
  <c r="I30" i="31" a="1"/>
  <c r="I30" i="31" s="1"/>
  <c r="I29" i="31" s="1"/>
  <c r="H3" i="35"/>
  <c r="H50" i="35"/>
  <c r="H26" i="35"/>
  <c r="H51" i="35"/>
  <c r="H49" i="35"/>
  <c r="H25" i="35"/>
  <c r="H27" i="35"/>
  <c r="H48" i="35"/>
  <c r="H24" i="35"/>
  <c r="H2" i="35"/>
  <c r="H54" i="35"/>
  <c r="H30" i="35"/>
  <c r="H6" i="35"/>
  <c r="H29" i="35"/>
  <c r="H5" i="35"/>
  <c r="H7" i="35"/>
  <c r="H52" i="35"/>
  <c r="H4" i="35"/>
  <c r="H31" i="35"/>
  <c r="H23" i="35"/>
  <c r="H16" i="35"/>
  <c r="H12" i="35"/>
  <c r="H35" i="35"/>
  <c r="H11" i="35"/>
  <c r="H34" i="35"/>
  <c r="H10" i="35"/>
  <c r="H9" i="35"/>
  <c r="H53" i="35"/>
  <c r="H45" i="35"/>
  <c r="H47" i="35"/>
  <c r="H46" i="35"/>
  <c r="H22" i="35"/>
  <c r="H44" i="35"/>
  <c r="H20" i="35"/>
  <c r="H19" i="35"/>
  <c r="H28" i="35"/>
  <c r="H43" i="35"/>
  <c r="H42" i="35"/>
  <c r="H18" i="35"/>
  <c r="H41" i="35"/>
  <c r="H17" i="35"/>
  <c r="H21" i="35"/>
  <c r="K2" i="35"/>
  <c r="H36" i="35"/>
  <c r="J2" i="35"/>
  <c r="H33" i="35"/>
  <c r="H32" i="35"/>
  <c r="H8" i="35"/>
  <c r="H37" i="35"/>
  <c r="L19" i="29"/>
  <c r="Q3" i="35" l="1"/>
  <c r="L3" i="35"/>
  <c r="N3" i="35"/>
  <c r="M3" i="35"/>
  <c r="K3" i="35"/>
  <c r="J3" i="35"/>
  <c r="O3" i="35"/>
  <c r="P3" i="35"/>
  <c r="P50" i="35"/>
  <c r="N50" i="35"/>
  <c r="J50" i="35"/>
  <c r="O50" i="35"/>
  <c r="K50" i="35"/>
  <c r="L50" i="35"/>
  <c r="M50" i="35"/>
  <c r="Q50" i="35"/>
  <c r="P26" i="35"/>
  <c r="Q26" i="35"/>
  <c r="K26" i="35"/>
  <c r="J26" i="35"/>
  <c r="O26" i="35"/>
  <c r="N26" i="35"/>
  <c r="L26" i="35"/>
  <c r="M26" i="35"/>
  <c r="N51" i="35"/>
  <c r="O51" i="35"/>
  <c r="L51" i="35"/>
  <c r="P51" i="35"/>
  <c r="Q51" i="35"/>
  <c r="K51" i="35"/>
  <c r="M51" i="35"/>
  <c r="J51" i="35"/>
  <c r="L49" i="35"/>
  <c r="N49" i="35"/>
  <c r="M49" i="35"/>
  <c r="O49" i="35"/>
  <c r="K49" i="35"/>
  <c r="P49" i="35"/>
  <c r="Q49" i="35"/>
  <c r="J49" i="35"/>
  <c r="L25" i="35"/>
  <c r="N25" i="35"/>
  <c r="M25" i="35"/>
  <c r="K25" i="35"/>
  <c r="O25" i="35"/>
  <c r="Q25" i="35"/>
  <c r="J25" i="35"/>
  <c r="P25" i="35"/>
  <c r="N27" i="35"/>
  <c r="Q27" i="35"/>
  <c r="L27" i="35"/>
  <c r="P27" i="35"/>
  <c r="K27" i="35"/>
  <c r="J27" i="35"/>
  <c r="O27" i="35"/>
  <c r="M27" i="35"/>
  <c r="L48" i="35"/>
  <c r="J48" i="35"/>
  <c r="N48" i="35"/>
  <c r="O48" i="35"/>
  <c r="K48" i="35"/>
  <c r="P48" i="35"/>
  <c r="M48" i="35"/>
  <c r="Q48" i="35"/>
  <c r="J24" i="35"/>
  <c r="L24" i="35"/>
  <c r="N24" i="35"/>
  <c r="Q24" i="35"/>
  <c r="M24" i="35"/>
  <c r="P24" i="35"/>
  <c r="K24" i="35"/>
  <c r="O24" i="35"/>
  <c r="M2" i="35"/>
  <c r="N2" i="35"/>
  <c r="L2" i="35"/>
  <c r="Q2" i="35"/>
  <c r="P2" i="35"/>
  <c r="O2" i="35"/>
  <c r="Q54" i="35"/>
  <c r="O54" i="35"/>
  <c r="J54" i="35"/>
  <c r="L54" i="35"/>
  <c r="N54" i="35"/>
  <c r="K54" i="35"/>
  <c r="M54" i="35"/>
  <c r="P54" i="35"/>
  <c r="O30" i="35"/>
  <c r="M30" i="35"/>
  <c r="K30" i="35"/>
  <c r="P30" i="35"/>
  <c r="L30" i="35"/>
  <c r="N30" i="35"/>
  <c r="Q30" i="35"/>
  <c r="J30" i="35"/>
  <c r="O6" i="35"/>
  <c r="K6" i="35"/>
  <c r="Q6" i="35"/>
  <c r="M6" i="35"/>
  <c r="L6" i="35"/>
  <c r="J6" i="35"/>
  <c r="P6" i="35"/>
  <c r="N6" i="35"/>
  <c r="N29" i="35"/>
  <c r="P29" i="35"/>
  <c r="K29" i="35"/>
  <c r="O29" i="35"/>
  <c r="L29" i="35"/>
  <c r="Q29" i="35"/>
  <c r="M29" i="35"/>
  <c r="J29" i="35"/>
  <c r="O5" i="35"/>
  <c r="N5" i="35"/>
  <c r="Q5" i="35"/>
  <c r="L5" i="35"/>
  <c r="K5" i="35"/>
  <c r="M5" i="35"/>
  <c r="J5" i="35"/>
  <c r="P5" i="35"/>
  <c r="K7" i="35"/>
  <c r="N7" i="35"/>
  <c r="J7" i="35"/>
  <c r="Q7" i="35"/>
  <c r="O7" i="35"/>
  <c r="P7" i="35"/>
  <c r="M7" i="35"/>
  <c r="L7" i="35"/>
  <c r="J52" i="35"/>
  <c r="N52" i="35"/>
  <c r="K52" i="35"/>
  <c r="M52" i="35"/>
  <c r="Q52" i="35"/>
  <c r="P52" i="35"/>
  <c r="L52" i="35"/>
  <c r="O52" i="35"/>
  <c r="M4" i="35"/>
  <c r="K4" i="35"/>
  <c r="N4" i="35"/>
  <c r="O4" i="35"/>
  <c r="J4" i="35"/>
  <c r="L4" i="35"/>
  <c r="Q4" i="35"/>
  <c r="P4" i="35"/>
  <c r="L31" i="35"/>
  <c r="J31" i="35"/>
  <c r="N31" i="35"/>
  <c r="P31" i="35"/>
  <c r="O31" i="35"/>
  <c r="Q31" i="35"/>
  <c r="K31" i="35"/>
  <c r="M31" i="35"/>
  <c r="O23" i="35"/>
  <c r="P23" i="35"/>
  <c r="K23" i="35"/>
  <c r="L23" i="35"/>
  <c r="N23" i="35"/>
  <c r="Q23" i="35"/>
  <c r="M23" i="35"/>
  <c r="J23" i="35"/>
  <c r="M16" i="35"/>
  <c r="O16" i="35"/>
  <c r="N16" i="35"/>
  <c r="Q16" i="35"/>
  <c r="P16" i="35"/>
  <c r="L16" i="35"/>
  <c r="K16" i="35"/>
  <c r="J16" i="35"/>
  <c r="L12" i="35"/>
  <c r="N12" i="35"/>
  <c r="Q12" i="35"/>
  <c r="J12" i="35"/>
  <c r="K12" i="35"/>
  <c r="O12" i="35"/>
  <c r="P12" i="35"/>
  <c r="M12" i="35"/>
  <c r="K35" i="35"/>
  <c r="J35" i="35"/>
  <c r="O35" i="35"/>
  <c r="Q35" i="35"/>
  <c r="L35" i="35"/>
  <c r="M35" i="35"/>
  <c r="N35" i="35"/>
  <c r="P35" i="35"/>
  <c r="T5" i="35"/>
  <c r="O11" i="35"/>
  <c r="L11" i="35"/>
  <c r="M11" i="35"/>
  <c r="P11" i="35"/>
  <c r="Q11" i="35"/>
  <c r="J11" i="35"/>
  <c r="N11" i="35"/>
  <c r="K11" i="35"/>
  <c r="L34" i="35"/>
  <c r="N34" i="35"/>
  <c r="O34" i="35"/>
  <c r="Q34" i="35"/>
  <c r="J34" i="35"/>
  <c r="M34" i="35"/>
  <c r="K34" i="35"/>
  <c r="P34" i="35"/>
  <c r="P10" i="35"/>
  <c r="M10" i="35"/>
  <c r="K10" i="35"/>
  <c r="O10" i="35"/>
  <c r="N10" i="35"/>
  <c r="J10" i="35"/>
  <c r="Q10" i="35"/>
  <c r="L10" i="35"/>
  <c r="K9" i="35"/>
  <c r="P9" i="35"/>
  <c r="Q9" i="35"/>
  <c r="L9" i="35"/>
  <c r="N9" i="35"/>
  <c r="M9" i="35"/>
  <c r="O9" i="35"/>
  <c r="J9" i="35"/>
  <c r="P53" i="35"/>
  <c r="Q53" i="35"/>
  <c r="M53" i="35"/>
  <c r="J53" i="35"/>
  <c r="L53" i="35"/>
  <c r="N53" i="35"/>
  <c r="O53" i="35"/>
  <c r="K53" i="35"/>
  <c r="N45" i="35"/>
  <c r="Q45" i="35"/>
  <c r="P45" i="35"/>
  <c r="O45" i="35"/>
  <c r="L45" i="35"/>
  <c r="M45" i="35"/>
  <c r="J45" i="35"/>
  <c r="K45" i="35"/>
  <c r="Q47" i="35"/>
  <c r="L47" i="35"/>
  <c r="N47" i="35"/>
  <c r="O47" i="35"/>
  <c r="P47" i="35"/>
  <c r="M47" i="35"/>
  <c r="J47" i="35"/>
  <c r="K47" i="35"/>
  <c r="J46" i="35"/>
  <c r="Q46" i="35"/>
  <c r="N46" i="35"/>
  <c r="M46" i="35"/>
  <c r="P46" i="35"/>
  <c r="L46" i="35"/>
  <c r="K46" i="35"/>
  <c r="O46" i="35"/>
  <c r="Q22" i="35"/>
  <c r="P22" i="35"/>
  <c r="K22" i="35"/>
  <c r="M22" i="35"/>
  <c r="L22" i="35"/>
  <c r="J22" i="35"/>
  <c r="N22" i="35"/>
  <c r="O22" i="35"/>
  <c r="N44" i="35"/>
  <c r="Q44" i="35"/>
  <c r="O44" i="35"/>
  <c r="K44" i="35"/>
  <c r="M44" i="35"/>
  <c r="P44" i="35"/>
  <c r="L44" i="35"/>
  <c r="J44" i="35"/>
  <c r="O20" i="35"/>
  <c r="M20" i="35"/>
  <c r="Q20" i="35"/>
  <c r="P20" i="35"/>
  <c r="N20" i="35"/>
  <c r="L20" i="35"/>
  <c r="K20" i="35"/>
  <c r="J20" i="35"/>
  <c r="Q19" i="35"/>
  <c r="L19" i="35"/>
  <c r="O19" i="35"/>
  <c r="N19" i="35"/>
  <c r="M19" i="35"/>
  <c r="P19" i="35"/>
  <c r="K19" i="35"/>
  <c r="J19" i="35"/>
  <c r="Q28" i="35"/>
  <c r="M28" i="35"/>
  <c r="O28" i="35"/>
  <c r="J28" i="35"/>
  <c r="P28" i="35"/>
  <c r="N28" i="35"/>
  <c r="L28" i="35"/>
  <c r="K28" i="35"/>
  <c r="K43" i="35"/>
  <c r="J43" i="35"/>
  <c r="Q43" i="35"/>
  <c r="L43" i="35"/>
  <c r="P43" i="35"/>
  <c r="M43" i="35"/>
  <c r="N43" i="35"/>
  <c r="O43" i="35"/>
  <c r="N42" i="35"/>
  <c r="L42" i="35"/>
  <c r="M42" i="35"/>
  <c r="Q42" i="35"/>
  <c r="P42" i="35"/>
  <c r="O42" i="35"/>
  <c r="K42" i="35"/>
  <c r="J42" i="35"/>
  <c r="N18" i="35"/>
  <c r="Q18" i="35"/>
  <c r="O18" i="35"/>
  <c r="P18" i="35"/>
  <c r="J18" i="35"/>
  <c r="K18" i="35"/>
  <c r="L18" i="35"/>
  <c r="M18" i="35"/>
  <c r="Q41" i="35"/>
  <c r="P41" i="35"/>
  <c r="K41" i="35"/>
  <c r="L41" i="35"/>
  <c r="O41" i="35"/>
  <c r="N41" i="35"/>
  <c r="J41" i="35"/>
  <c r="M41" i="35"/>
  <c r="J17" i="35"/>
  <c r="K17" i="35"/>
  <c r="P17" i="35"/>
  <c r="L17" i="35"/>
  <c r="O17" i="35"/>
  <c r="M17" i="35"/>
  <c r="Q17" i="35"/>
  <c r="N17" i="35"/>
  <c r="P21" i="35"/>
  <c r="M21" i="35"/>
  <c r="K21" i="35"/>
  <c r="O21" i="35"/>
  <c r="L21" i="35"/>
  <c r="N21" i="35"/>
  <c r="J21" i="35"/>
  <c r="Q21" i="35"/>
  <c r="K36" i="35"/>
  <c r="Q36" i="35"/>
  <c r="N36" i="35"/>
  <c r="J36" i="35"/>
  <c r="L36" i="35"/>
  <c r="P36" i="35"/>
  <c r="O36" i="35"/>
  <c r="M36" i="35"/>
  <c r="N33" i="35"/>
  <c r="O33" i="35"/>
  <c r="P33" i="35"/>
  <c r="Q33" i="35"/>
  <c r="J33" i="35"/>
  <c r="M33" i="35"/>
  <c r="K33" i="35"/>
  <c r="L33" i="35"/>
  <c r="M32" i="35"/>
  <c r="L32" i="35"/>
  <c r="N32" i="35"/>
  <c r="Q32" i="35"/>
  <c r="O32" i="35"/>
  <c r="P32" i="35"/>
  <c r="J32" i="35"/>
  <c r="K32" i="35"/>
  <c r="O8" i="35"/>
  <c r="Q8" i="35"/>
  <c r="M8" i="35"/>
  <c r="J8" i="35"/>
  <c r="N8" i="35"/>
  <c r="L8" i="35"/>
  <c r="P8" i="35"/>
  <c r="K8" i="35"/>
  <c r="L37" i="35"/>
  <c r="O37" i="35"/>
  <c r="P37" i="35"/>
  <c r="Q37" i="35"/>
  <c r="M37" i="35"/>
  <c r="N37" i="35"/>
  <c r="J37" i="35"/>
  <c r="K37" i="35"/>
  <c r="J30" i="31"/>
  <c r="K30" i="31"/>
  <c r="K29" i="31" s="1"/>
  <c r="S7" i="35"/>
  <c r="S6" i="35"/>
  <c r="T6" i="35"/>
  <c r="S4" i="35"/>
  <c r="S5" i="35"/>
  <c r="T4" i="35"/>
  <c r="T7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73A48D-3373-40E2-8A1B-2B07ED355B0A}" keepAlive="1" name="Query - MDCR INPT HOSP MA 7_CPS_13UMI" description="Connection to the 'MDCR INPT HOSP MA 7_CPS_13UMI' query in the workbook." type="5" refreshedVersion="8" background="1" saveData="1">
    <dbPr connection="Provider=Microsoft.Mashup.OleDb.1;Data Source=$Workbook$;Location=&quot;MDCR INPT HOSP MA 7_CPS_13UMI&quot;;Extended Properties=&quot;&quot;" command="SELECT * FROM [MDCR INPT HOSP MA 7_CPS_13UM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<sst xmlns="http://schemas.openxmlformats.org/spreadsheetml/2006/main" count="799" uniqueCount="134">
  <si>
    <t>Area of Residence</t>
  </si>
  <si>
    <t>Total Medicare Advantage Part A Enrollees²</t>
  </si>
  <si>
    <t>Total Persons With Utilization</t>
  </si>
  <si>
    <t>Total Discharges</t>
  </si>
  <si>
    <t>Discharges Per 1,000 Medicare Advantage Part A Enrollees</t>
  </si>
  <si>
    <t>Discharges per 1,000 Persons With Utilization</t>
  </si>
  <si>
    <t>Total Discharges Beginning with Emergency Room Visit³</t>
  </si>
  <si>
    <t>Total Days of Care</t>
  </si>
  <si>
    <t>Total Days Per 1,000 Medicare Advantage Part A Enrollees</t>
  </si>
  <si>
    <t>Total Days Per Person With Utilization</t>
  </si>
  <si>
    <t>Total Days Per Discharge</t>
  </si>
  <si>
    <t>Discharged Dead⁴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</si>
  <si>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</si>
  <si>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</si>
  <si>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</si>
  <si>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</si>
  <si>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</si>
  <si>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</si>
  <si>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</si>
  <si>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</si>
  <si>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</si>
  <si>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</si>
  <si>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</si>
  <si>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</si>
  <si>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</si>
  <si>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</si>
  <si>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</si>
  <si>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</si>
  <si>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</si>
  <si>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</si>
  <si>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</si>
  <si>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</si>
  <si>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</si>
  <si>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</si>
  <si>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</si>
  <si>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</si>
  <si>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</si>
  <si>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</si>
  <si>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</si>
  <si>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</si>
  <si>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</si>
  <si>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</si>
  <si>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</si>
  <si>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</si>
  <si>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</si>
  <si>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</si>
  <si>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</si>
  <si>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</si>
  <si>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</si>
  <si>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</si>
  <si>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</si>
  <si>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</si>
  <si>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</si>
  <si>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</si>
  <si>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</si>
  <si>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</si>
  <si>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</si>
  <si>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</si>
  <si>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</si>
  <si>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</si>
  <si>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</si>
  <si>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</si>
  <si>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</si>
  <si>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</si>
  <si>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Grand Total</t>
  </si>
  <si>
    <t>State</t>
  </si>
  <si>
    <t>Average Length of Stay (Days)</t>
  </si>
  <si>
    <t>Row Labels</t>
  </si>
  <si>
    <t>Utilization Rate</t>
  </si>
  <si>
    <t xml:space="preserve"> ER discharge rate</t>
  </si>
  <si>
    <t xml:space="preserve"> Discharged Dead</t>
  </si>
  <si>
    <t xml:space="preserve"> Total Discharges</t>
  </si>
  <si>
    <t>Mortality Rate</t>
  </si>
  <si>
    <t xml:space="preserve"> Total Days Per 1,000 Medicare Advantage Part A Enrollees</t>
  </si>
  <si>
    <t xml:space="preserve">Discharges Per 1,000 Medicare Advantage Part A Enrollees  </t>
  </si>
  <si>
    <t>Efficiency Index</t>
  </si>
  <si>
    <t xml:space="preserve"> Utilization  Rate</t>
  </si>
  <si>
    <t xml:space="preserve"> state</t>
  </si>
  <si>
    <t>Axis truncated for better comparison</t>
  </si>
  <si>
    <t xml:space="preserve">LOS  </t>
  </si>
  <si>
    <t xml:space="preserve"> Discharges Per 1,000 Medicare Advantage Part A Enrollees</t>
  </si>
  <si>
    <t>LOS</t>
  </si>
  <si>
    <t>Total Dischargers</t>
  </si>
  <si>
    <t>Average Length of Stay</t>
  </si>
  <si>
    <t>Total Impatient Days</t>
  </si>
  <si>
    <t>ER Discharges</t>
  </si>
  <si>
    <t>ER Admission Rate</t>
  </si>
  <si>
    <t>Hospital Utilization Rate (per 1,000)</t>
  </si>
  <si>
    <t>36,7M</t>
  </si>
  <si>
    <t>6.0M</t>
  </si>
  <si>
    <t>4,8M</t>
  </si>
  <si>
    <t xml:space="preserve"> State</t>
  </si>
  <si>
    <t xml:space="preserve"> </t>
  </si>
  <si>
    <t>Mortality</t>
  </si>
  <si>
    <t>Total ER Discharges</t>
  </si>
  <si>
    <t>Average LOS</t>
  </si>
  <si>
    <t>Utilization Level</t>
  </si>
  <si>
    <t>System Type</t>
  </si>
  <si>
    <t>System Pressure</t>
  </si>
  <si>
    <t>Efficient / High Turnover</t>
  </si>
  <si>
    <t>Underused but Efficient</t>
  </si>
  <si>
    <t>Inefficient</t>
  </si>
  <si>
    <t>Efficient_X</t>
  </si>
  <si>
    <t>Efficient_Y</t>
  </si>
  <si>
    <t>Pressure_X</t>
  </si>
  <si>
    <t>Pressure_Y</t>
  </si>
  <si>
    <t>Ubderused but efficient</t>
  </si>
  <si>
    <t>Inafficient</t>
  </si>
  <si>
    <t>low</t>
  </si>
  <si>
    <t>#DEEBF7</t>
  </si>
  <si>
    <t>high</t>
  </si>
  <si>
    <t>#08306B</t>
  </si>
  <si>
    <t>Average Length</t>
  </si>
  <si>
    <t>Stay (days)</t>
  </si>
  <si>
    <t>Impatient Days</t>
  </si>
  <si>
    <t xml:space="preserve"> Discharges</t>
  </si>
  <si>
    <t xml:space="preserve"> ER</t>
  </si>
  <si>
    <t>ER</t>
  </si>
  <si>
    <t xml:space="preserve"> Mortality Rate</t>
  </si>
  <si>
    <t>Discharges</t>
  </si>
  <si>
    <t>Quadranrt</t>
  </si>
  <si>
    <t>States</t>
  </si>
  <si>
    <t>Count of States</t>
  </si>
  <si>
    <t>Quadrant</t>
  </si>
  <si>
    <t xml:space="preserve">Discharges Per 1,000 Medicare Advantage Part A Enrollees </t>
  </si>
  <si>
    <t xml:space="preserve">States </t>
  </si>
  <si>
    <t>discharge rate per bed-day</t>
  </si>
  <si>
    <t>Highest Discharge Rate per Inpatient Day</t>
  </si>
  <si>
    <t>Lowest Discharge Rate per Inpatient Day</t>
  </si>
  <si>
    <t xml:space="preserve">          Hospital Utilization</t>
  </si>
  <si>
    <t xml:space="preserve">         per 1,000 Enrollees</t>
  </si>
  <si>
    <t>Dependancy Rate</t>
  </si>
  <si>
    <t>Medicare Advantage Inpatient Utilization Dashboard     Source: CMS Data  |  All 50 States + DC  |  2022</t>
  </si>
  <si>
    <t>Dist.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</si>
</sst>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2"/>
      <color theme="1"/>
      <name val="Aptos"/>
      <family val="2"/>
    </font>
    <font>
      <sz val="2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E63518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color rgb="FFCB723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8306B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0" xfId="0" applyFont="1" applyFill="1"/>
    <xf numFmtId="0" fontId="7" fillId="0" borderId="0" xfId="0" applyFont="1"/>
    <xf numFmtId="0" fontId="0" fillId="0" borderId="4" xfId="0" applyBorder="1"/>
    <xf numFmtId="0" fontId="0" fillId="0" borderId="8" xfId="0" applyBorder="1"/>
    <xf numFmtId="0" fontId="11" fillId="0" borderId="6" xfId="0" applyFont="1" applyBorder="1"/>
    <xf numFmtId="0" fontId="12" fillId="0" borderId="5" xfId="0" applyFont="1" applyBorder="1"/>
    <xf numFmtId="0" fontId="13" fillId="0" borderId="5" xfId="0" applyFont="1" applyBorder="1"/>
    <xf numFmtId="0" fontId="14" fillId="0" borderId="7" xfId="0" applyFont="1" applyBorder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2" fontId="2" fillId="3" borderId="0" xfId="0" applyNumberFormat="1" applyFont="1" applyFill="1"/>
    <xf numFmtId="0" fontId="0" fillId="4" borderId="0" xfId="0" applyFill="1"/>
    <xf numFmtId="0" fontId="8" fillId="4" borderId="0" xfId="0" applyFont="1" applyFill="1"/>
    <xf numFmtId="0" fontId="10" fillId="5" borderId="0" xfId="0" applyFont="1" applyFill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0" xfId="0" applyFont="1" applyFill="1"/>
    <xf numFmtId="0" fontId="10" fillId="5" borderId="5" xfId="0" applyFont="1" applyFill="1" applyBorder="1" applyAlignment="1">
      <alignment horizontal="left"/>
    </xf>
    <xf numFmtId="2" fontId="0" fillId="0" borderId="0" xfId="0" applyNumberFormat="1" applyAlignment="1">
      <alignment horizontal="right"/>
    </xf>
    <xf numFmtId="0" fontId="3" fillId="3" borderId="0" xfId="0" applyFont="1" applyFill="1" applyAlignment="1">
      <alignment horizontal="left"/>
    </xf>
    <xf numFmtId="164" fontId="1" fillId="0" borderId="0" xfId="0" applyNumberFormat="1" applyFont="1"/>
    <xf numFmtId="164" fontId="9" fillId="5" borderId="6" xfId="0" applyNumberFormat="1" applyFont="1" applyFill="1" applyBorder="1" applyAlignment="1">
      <alignment horizontal="center"/>
    </xf>
    <xf numFmtId="164" fontId="9" fillId="5" borderId="5" xfId="0" applyNumberFormat="1" applyFont="1" applyFill="1" applyBorder="1" applyAlignment="1">
      <alignment horizontal="center"/>
    </xf>
    <xf numFmtId="164" fontId="9" fillId="5" borderId="7" xfId="0" applyNumberFormat="1" applyFont="1" applyFill="1" applyBorder="1" applyAlignment="1">
      <alignment horizontal="center"/>
    </xf>
    <xf numFmtId="164" fontId="9" fillId="5" borderId="9" xfId="0" applyNumberFormat="1" applyFont="1" applyFill="1" applyBorder="1" applyAlignment="1">
      <alignment horizontal="center"/>
    </xf>
    <xf numFmtId="164" fontId="9" fillId="5" borderId="10" xfId="0" applyNumberFormat="1" applyFont="1" applyFill="1" applyBorder="1" applyAlignment="1">
      <alignment horizontal="center"/>
    </xf>
    <xf numFmtId="164" fontId="9" fillId="5" borderId="11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5" xfId="0" applyFont="1" applyFill="1" applyBorder="1" applyAlignment="1">
      <alignment horizontal="center"/>
    </xf>
    <xf numFmtId="10" fontId="9" fillId="5" borderId="3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165" fontId="9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23">
    <dxf>
      <numFmt numFmtId="14" formatCode="0.0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2" formatCode="0.00"/>
    </dxf>
    <dxf>
      <numFmt numFmtId="2" formatCode="0.0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0" formatCode="General"/>
    </dxf>
    <dxf>
      <font>
        <b/>
      </font>
    </dxf>
  </dxfs>
  <tableStyles count="0" defaultTableStyle="TableStyleMedium2" defaultPivotStyle="PivotStyleLight16"/>
  <colors>
    <mruColors>
      <color rgb="FF08306B"/>
      <color rgb="FFCB7235"/>
      <color rgb="FF5B8C5A"/>
      <color rgb="FFF3D867"/>
      <color rgb="FFFF7A5B"/>
      <color rgb="FFE63518"/>
      <color rgb="FFDEEBF7"/>
      <color rgb="FF083068"/>
      <color rgb="FF9ECAE1"/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High Admissions Don't Equal Longer Stays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67887683856508"/>
          <c:y val="9.7819225251076058E-2"/>
          <c:w val="0.86346035666400889"/>
          <c:h val="0.7663893627356838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4C2-4B76-8991-FC22C0E76C89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4C2-4B76-8991-FC22C0E76C8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4C2-4B76-8991-FC22C0E76C8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14C2-4B76-8991-FC22C0E76C8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4C2-4B76-8991-FC22C0E76C8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4C2-4B76-8991-FC22C0E76C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14C2-4B76-8991-FC22C0E76C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14C2-4B76-8991-FC22C0E76C8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4C2-4B76-8991-FC22C0E76C8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4C2-4B76-8991-FC22C0E76C8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14C2-4B76-8991-FC22C0E76C8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4C2-4B76-8991-FC22C0E76C8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4C2-4B76-8991-FC22C0E76C8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4C2-4B76-8991-FC22C0E76C8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4C2-4B76-8991-FC22C0E76C8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4C2-4B76-8991-FC22C0E76C8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14C2-4B76-8991-FC22C0E76C8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4C2-4B76-8991-FC22C0E76C8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4C2-4B76-8991-FC22C0E76C8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14C2-4B76-8991-FC22C0E76C8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4C2-4B76-8991-FC22C0E76C8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4C2-4B76-8991-FC22C0E76C8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4C2-4B76-8991-FC22C0E76C8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4C2-4B76-8991-FC22C0E76C89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14C2-4B76-8991-FC22C0E76C89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4C2-4B76-8991-FC22C0E76C89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4C2-4B76-8991-FC22C0E76C89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C2-4B76-8991-FC22C0E76C89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4C2-4B76-8991-FC22C0E76C89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4C2-4B76-8991-FC22C0E76C8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4C2-4B76-8991-FC22C0E76C89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14C2-4B76-8991-FC22C0E76C89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4C2-4B76-8991-FC22C0E76C89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14C2-4B76-8991-FC22C0E76C89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4C2-4B76-8991-FC22C0E76C89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C2-4B76-8991-FC22C0E76C89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4C2-4B76-8991-FC22C0E76C89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4C2-4B76-8991-FC22C0E76C89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4C2-4B76-8991-FC22C0E76C89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C2-4B76-8991-FC22C0E76C89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C2-4B76-8991-FC22C0E76C89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4C2-4B76-8991-FC22C0E76C89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4C2-4B76-8991-FC22C0E76C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'LOS1'!$D$2:$D$52</c:f>
              <c:numCache>
                <c:formatCode>General</c:formatCode>
                <c:ptCount val="51"/>
                <c:pt idx="0">
                  <c:v>225</c:v>
                </c:pt>
                <c:pt idx="1">
                  <c:v>168</c:v>
                </c:pt>
                <c:pt idx="2">
                  <c:v>195</c:v>
                </c:pt>
                <c:pt idx="3">
                  <c:v>235</c:v>
                </c:pt>
                <c:pt idx="4">
                  <c:v>161</c:v>
                </c:pt>
                <c:pt idx="5">
                  <c:v>164</c:v>
                </c:pt>
                <c:pt idx="6">
                  <c:v>197</c:v>
                </c:pt>
                <c:pt idx="7">
                  <c:v>211</c:v>
                </c:pt>
                <c:pt idx="8">
                  <c:v>268</c:v>
                </c:pt>
                <c:pt idx="9">
                  <c:v>217</c:v>
                </c:pt>
                <c:pt idx="10">
                  <c:v>223</c:v>
                </c:pt>
                <c:pt idx="11">
                  <c:v>159</c:v>
                </c:pt>
                <c:pt idx="12">
                  <c:v>126</c:v>
                </c:pt>
                <c:pt idx="13">
                  <c:v>220</c:v>
                </c:pt>
                <c:pt idx="14">
                  <c:v>216</c:v>
                </c:pt>
                <c:pt idx="15">
                  <c:v>162</c:v>
                </c:pt>
                <c:pt idx="16">
                  <c:v>211</c:v>
                </c:pt>
                <c:pt idx="17">
                  <c:v>223</c:v>
                </c:pt>
                <c:pt idx="18">
                  <c:v>205</c:v>
                </c:pt>
                <c:pt idx="19">
                  <c:v>120</c:v>
                </c:pt>
                <c:pt idx="20">
                  <c:v>201</c:v>
                </c:pt>
                <c:pt idx="21">
                  <c:v>228</c:v>
                </c:pt>
                <c:pt idx="22">
                  <c:v>206</c:v>
                </c:pt>
                <c:pt idx="23">
                  <c:v>145</c:v>
                </c:pt>
                <c:pt idx="24">
                  <c:v>216</c:v>
                </c:pt>
                <c:pt idx="25">
                  <c:v>232</c:v>
                </c:pt>
                <c:pt idx="26">
                  <c:v>137</c:v>
                </c:pt>
                <c:pt idx="27">
                  <c:v>168</c:v>
                </c:pt>
                <c:pt idx="28">
                  <c:v>216</c:v>
                </c:pt>
                <c:pt idx="29">
                  <c:v>153</c:v>
                </c:pt>
                <c:pt idx="30">
                  <c:v>230</c:v>
                </c:pt>
                <c:pt idx="31">
                  <c:v>166</c:v>
                </c:pt>
                <c:pt idx="32">
                  <c:v>211</c:v>
                </c:pt>
                <c:pt idx="33">
                  <c:v>193</c:v>
                </c:pt>
                <c:pt idx="34">
                  <c:v>70</c:v>
                </c:pt>
                <c:pt idx="35">
                  <c:v>231</c:v>
                </c:pt>
                <c:pt idx="36">
                  <c:v>238</c:v>
                </c:pt>
                <c:pt idx="37">
                  <c:v>146</c:v>
                </c:pt>
                <c:pt idx="38">
                  <c:v>227</c:v>
                </c:pt>
                <c:pt idx="39">
                  <c:v>173</c:v>
                </c:pt>
                <c:pt idx="40">
                  <c:v>205</c:v>
                </c:pt>
                <c:pt idx="41">
                  <c:v>224</c:v>
                </c:pt>
                <c:pt idx="42">
                  <c:v>76</c:v>
                </c:pt>
                <c:pt idx="43">
                  <c:v>219</c:v>
                </c:pt>
                <c:pt idx="44">
                  <c:v>227</c:v>
                </c:pt>
                <c:pt idx="45">
                  <c:v>137</c:v>
                </c:pt>
                <c:pt idx="46">
                  <c:v>130</c:v>
                </c:pt>
                <c:pt idx="47">
                  <c:v>222</c:v>
                </c:pt>
                <c:pt idx="48">
                  <c:v>153</c:v>
                </c:pt>
                <c:pt idx="49">
                  <c:v>208</c:v>
                </c:pt>
                <c:pt idx="50">
                  <c:v>147</c:v>
                </c:pt>
              </c:numCache>
            </c:numRef>
          </c:xVal>
          <c:yVal>
            <c:numRef>
              <c:f>'LOS1'!$E$2:$E$52</c:f>
              <c:numCache>
                <c:formatCode>0.0</c:formatCode>
                <c:ptCount val="51"/>
                <c:pt idx="0">
                  <c:v>6.6037812778423763</c:v>
                </c:pt>
                <c:pt idx="1">
                  <c:v>6.7006802721088432</c:v>
                </c:pt>
                <c:pt idx="2">
                  <c:v>5.8389574033441782</c:v>
                </c:pt>
                <c:pt idx="3">
                  <c:v>5.7532427371278372</c:v>
                </c:pt>
                <c:pt idx="4">
                  <c:v>5.6851282646097934</c:v>
                </c:pt>
                <c:pt idx="5">
                  <c:v>5.5674924035638877</c:v>
                </c:pt>
                <c:pt idx="6">
                  <c:v>6.1300956565263336</c:v>
                </c:pt>
                <c:pt idx="7">
                  <c:v>7.6350638428014372</c:v>
                </c:pt>
                <c:pt idx="8">
                  <c:v>8.7541789577187803</c:v>
                </c:pt>
                <c:pt idx="9">
                  <c:v>5.91175023490523</c:v>
                </c:pt>
                <c:pt idx="10">
                  <c:v>6.7146483781135826</c:v>
                </c:pt>
                <c:pt idx="11">
                  <c:v>7.862824877522212</c:v>
                </c:pt>
                <c:pt idx="12">
                  <c:v>5.8106447808138393</c:v>
                </c:pt>
                <c:pt idx="13">
                  <c:v>6.0444579749330503</c:v>
                </c:pt>
                <c:pt idx="14">
                  <c:v>5.9544597488095619</c:v>
                </c:pt>
                <c:pt idx="15">
                  <c:v>5.7471610384191232</c:v>
                </c:pt>
                <c:pt idx="16">
                  <c:v>5.2660328385196422</c:v>
                </c:pt>
                <c:pt idx="17">
                  <c:v>6.6651133378733336</c:v>
                </c:pt>
                <c:pt idx="18">
                  <c:v>5.9189296057623464</c:v>
                </c:pt>
                <c:pt idx="19">
                  <c:v>7.4372949002217297</c:v>
                </c:pt>
                <c:pt idx="20">
                  <c:v>7.1131243294790796</c:v>
                </c:pt>
                <c:pt idx="21">
                  <c:v>6.5428799920027991</c:v>
                </c:pt>
                <c:pt idx="22">
                  <c:v>6.136540012907389</c:v>
                </c:pt>
                <c:pt idx="23">
                  <c:v>5.8139620302564223</c:v>
                </c:pt>
                <c:pt idx="24">
                  <c:v>6.5483259902517936</c:v>
                </c:pt>
                <c:pt idx="25">
                  <c:v>5.7652282198778773</c:v>
                </c:pt>
                <c:pt idx="26">
                  <c:v>6.2218265364732916</c:v>
                </c:pt>
                <c:pt idx="27">
                  <c:v>6.4015048653541529</c:v>
                </c:pt>
                <c:pt idx="28">
                  <c:v>6.1920685102834909</c:v>
                </c:pt>
                <c:pt idx="29">
                  <c:v>6.8183873398643557</c:v>
                </c:pt>
                <c:pt idx="30">
                  <c:v>6.1713534347215075</c:v>
                </c:pt>
                <c:pt idx="31">
                  <c:v>5.9471823725218727</c:v>
                </c:pt>
                <c:pt idx="32">
                  <c:v>6.7752512271051275</c:v>
                </c:pt>
                <c:pt idx="33">
                  <c:v>6.3972351431550241</c:v>
                </c:pt>
                <c:pt idx="34">
                  <c:v>6.0652091971353181</c:v>
                </c:pt>
                <c:pt idx="35">
                  <c:v>5.6776430464782877</c:v>
                </c:pt>
                <c:pt idx="36">
                  <c:v>5.647034063449996</c:v>
                </c:pt>
                <c:pt idx="37">
                  <c:v>6.4642382849554165</c:v>
                </c:pt>
                <c:pt idx="38">
                  <c:v>5.7169079161672478</c:v>
                </c:pt>
                <c:pt idx="39">
                  <c:v>6.924105229562759</c:v>
                </c:pt>
                <c:pt idx="40">
                  <c:v>5.8968361538163654</c:v>
                </c:pt>
                <c:pt idx="41">
                  <c:v>6.4048310366678329</c:v>
                </c:pt>
                <c:pt idx="42">
                  <c:v>6.1101793617516886</c:v>
                </c:pt>
                <c:pt idx="43">
                  <c:v>6.4655352151019567</c:v>
                </c:pt>
                <c:pt idx="44">
                  <c:v>5.8466877788400256</c:v>
                </c:pt>
                <c:pt idx="45">
                  <c:v>4.5126459143968871</c:v>
                </c:pt>
                <c:pt idx="46">
                  <c:v>7.1172685019663922</c:v>
                </c:pt>
                <c:pt idx="47">
                  <c:v>6.3591653870167564</c:v>
                </c:pt>
                <c:pt idx="48">
                  <c:v>7.4134378143696722</c:v>
                </c:pt>
                <c:pt idx="49">
                  <c:v>6.0535309099328547</c:v>
                </c:pt>
                <c:pt idx="50">
                  <c:v>6.1824256006671181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2-4B76-8991-FC22C0E76C89}"/>
            </c:ext>
          </c:extLst>
        </c:ser>
        <c:ser>
          <c:idx val="1"/>
          <c:order val="1"/>
          <c:tx>
            <c:v>Average_Line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F3E-4643-808F-E5DC7C8A4E7A}"/>
                </c:ext>
              </c:extLst>
            </c:dLbl>
            <c:dLbl>
              <c:idx val="1"/>
              <c:layout>
                <c:manualLayout>
                  <c:x val="-0.10161194579169895"/>
                  <c:y val="-5.1649815293891704E-2"/>
                </c:manualLayout>
              </c:layout>
              <c:tx>
                <c:rich>
                  <a:bodyPr/>
                  <a:lstStyle/>
                  <a:p>
                    <a:r>
                      <a:rPr lang="en-US" sz="1100" b="0" i="0" u="none" strike="noStrike" baseline="0"/>
                      <a:t>Avg. Discharges: 188</a:t>
                    </a:r>
                    <a:endParaRPr lang="en-US" sz="110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49434440347204"/>
                      <c:h val="4.0129237790756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2F3E-4643-808F-E5DC7C8A4E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('LOS1'!$I$25,'LOS1'!$I$26)</c:f>
              <c:numCache>
                <c:formatCode>General</c:formatCode>
                <c:ptCount val="2"/>
                <c:pt idx="0">
                  <c:v>188.5</c:v>
                </c:pt>
                <c:pt idx="1">
                  <c:v>188.5</c:v>
                </c:pt>
              </c:numCache>
            </c:numRef>
          </c:xVal>
          <c:yVal>
            <c:numRef>
              <c:f>('LOS1'!$J$25,'LOS1'!$J$26)</c:f>
              <c:numCache>
                <c:formatCode>General</c:formatCode>
                <c:ptCount val="2"/>
                <c:pt idx="0" formatCode="0">
                  <c:v>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14C2-4B76-8991-FC22C0E76C89}"/>
            </c:ext>
          </c:extLst>
        </c:ser>
        <c:ser>
          <c:idx val="2"/>
          <c:order val="2"/>
          <c:tx>
            <c:v>Average LOS</c:v>
          </c:tx>
          <c:spPr>
            <a:ln w="2540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F3E-4643-808F-E5DC7C8A4E7A}"/>
                </c:ext>
              </c:extLst>
            </c:dLbl>
            <c:dLbl>
              <c:idx val="1"/>
              <c:layout>
                <c:manualLayout>
                  <c:x val="-2.198338694484693E-3"/>
                  <c:y val="8.321388628430054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/>
                      <a:t>National</a:t>
                    </a:r>
                    <a:r>
                      <a:rPr lang="en-US" sz="1100" baseline="0"/>
                      <a:t> LOS: 6,3</a:t>
                    </a:r>
                  </a:p>
                  <a:p>
                    <a:pPr>
                      <a:defRPr/>
                    </a:pPr>
                    <a:endParaRPr lang="en-US" sz="11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82694985525968"/>
                      <c:h val="7.45625233000824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3F-2F3E-4643-808F-E5DC7C8A4E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'LOS1'!$L$25:$L$26</c:f>
              <c:numCache>
                <c:formatCode>General</c:formatCode>
                <c:ptCount val="2"/>
                <c:pt idx="0">
                  <c:v>60</c:v>
                </c:pt>
                <c:pt idx="1">
                  <c:v>290</c:v>
                </c:pt>
              </c:numCache>
            </c:numRef>
          </c:xVal>
          <c:yVal>
            <c:numRef>
              <c:f>'LOS1'!$M$25:$M$26</c:f>
              <c:numCache>
                <c:formatCode>0.0</c:formatCode>
                <c:ptCount val="2"/>
                <c:pt idx="0">
                  <c:v>6.3079311754523122</c:v>
                </c:pt>
                <c:pt idx="1">
                  <c:v>6.3079311754523122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3E-4643-808F-E5DC7C8A4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46624"/>
        <c:axId val="1262445904"/>
      </c:scatterChart>
      <c:valAx>
        <c:axId val="1262446624"/>
        <c:scaling>
          <c:orientation val="minMax"/>
          <c:max val="300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Discharges per 1,000 Enrollees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2445904"/>
        <c:crosses val="autoZero"/>
        <c:crossBetween val="midCat"/>
      </c:valAx>
      <c:valAx>
        <c:axId val="1262445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Average Length of Stay (Days</a:t>
                </a:r>
                <a:r>
                  <a:rPr lang="en-US" sz="1000" b="0" i="0" u="none" strike="noStrike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244662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(2022).xlsx]Longest Hospital Stay!PivotTable2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Top 10 States with the Longest Hospital Stays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7B2AB"/>
          </a:solidFill>
          <a:ln>
            <a:noFill/>
          </a:ln>
          <a:effectLst/>
        </c:spPr>
      </c:pivotFmt>
      <c:pivotFmt>
        <c:idx val="7"/>
        <c:spPr>
          <a:solidFill>
            <a:srgbClr val="F7B2AB"/>
          </a:solidFill>
          <a:ln>
            <a:noFill/>
          </a:ln>
          <a:effectLst/>
        </c:spPr>
      </c:pivotFmt>
      <c:pivotFmt>
        <c:idx val="8"/>
        <c:spPr>
          <a:solidFill>
            <a:srgbClr val="F7B2AB"/>
          </a:solidFill>
          <a:ln>
            <a:noFill/>
          </a:ln>
          <a:effectLst/>
        </c:spPr>
      </c:pivotFmt>
      <c:pivotFmt>
        <c:idx val="9"/>
        <c:spPr>
          <a:solidFill>
            <a:srgbClr val="F7B2AB"/>
          </a:solidFill>
          <a:ln>
            <a:noFill/>
          </a:ln>
          <a:effectLst/>
        </c:spPr>
      </c:pivotFmt>
      <c:pivotFmt>
        <c:idx val="10"/>
        <c:spPr>
          <a:solidFill>
            <a:srgbClr val="F7B2A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'Longest Hospital Stay'!$B$1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7B2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993-4100-BACF-2A377A7912F5}"/>
              </c:ext>
            </c:extLst>
          </c:dPt>
          <c:dPt>
            <c:idx val="1"/>
            <c:invertIfNegative val="0"/>
            <c:bubble3D val="0"/>
            <c:spPr>
              <a:solidFill>
                <a:srgbClr val="F7B2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993-4100-BACF-2A377A7912F5}"/>
              </c:ext>
            </c:extLst>
          </c:dPt>
          <c:dPt>
            <c:idx val="2"/>
            <c:invertIfNegative val="0"/>
            <c:bubble3D val="0"/>
            <c:spPr>
              <a:solidFill>
                <a:srgbClr val="F7B2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93-4100-BACF-2A377A7912F5}"/>
              </c:ext>
            </c:extLst>
          </c:dPt>
          <c:dPt>
            <c:idx val="3"/>
            <c:invertIfNegative val="0"/>
            <c:bubble3D val="0"/>
            <c:spPr>
              <a:solidFill>
                <a:srgbClr val="F7B2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993-4100-BACF-2A377A7912F5}"/>
              </c:ext>
            </c:extLst>
          </c:dPt>
          <c:dPt>
            <c:idx val="4"/>
            <c:invertIfNegative val="0"/>
            <c:bubble3D val="0"/>
            <c:spPr>
              <a:solidFill>
                <a:srgbClr val="F7B2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93-4100-BACF-2A377A7912F5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993-4100-BACF-2A377A7912F5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93-4100-BACF-2A377A7912F5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993-4100-BACF-2A377A7912F5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93-4100-BACF-2A377A7912F5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993-4100-BACF-2A377A7912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'Longest Hospital Stay'!$A$2:$A$12</c:f>
              <c:strCache>
                <c:ptCount val="10"/>
                <c:pt idx="0">
                  <c:v>New York</c:v>
                </c:pt>
                <c:pt idx="1">
                  <c:v>New Hampshire</c:v>
                </c:pt>
                <c:pt idx="2">
                  <c:v>Puerto Rico</c:v>
                </c:pt>
                <c:pt idx="3">
                  <c:v>Maryland</c:v>
                </c:pt>
                <c:pt idx="4">
                  <c:v>Vermont</c:v>
                </c:pt>
                <c:pt idx="5">
                  <c:v>Washington</c:v>
                </c:pt>
                <c:pt idx="6">
                  <c:v>Maine</c:v>
                </c:pt>
                <c:pt idx="7">
                  <c:v>Delaware</c:v>
                </c:pt>
                <c:pt idx="8">
                  <c:v>Hawaii</c:v>
                </c:pt>
                <c:pt idx="9">
                  <c:v>District of Columbia</c:v>
                </c:pt>
              </c:strCache>
            </c:strRef>
          </c:cat>
          <c:val>
            <c:numRef>
              <c:f>'Longest Hospital Stay'!$B$2:$B$12</c:f>
              <c:numCache>
                <c:formatCode>0.0</c:formatCode>
                <c:ptCount val="10"/>
                <c:pt idx="0">
                  <c:v>6.7752512271051284</c:v>
                </c:pt>
                <c:pt idx="1">
                  <c:v>6.8183873398643557</c:v>
                </c:pt>
                <c:pt idx="2">
                  <c:v>6.924105229562759</c:v>
                </c:pt>
                <c:pt idx="3">
                  <c:v>7.1131243294790796</c:v>
                </c:pt>
                <c:pt idx="4">
                  <c:v>7.1172685019663922</c:v>
                </c:pt>
                <c:pt idx="5">
                  <c:v>7.4134378143696722</c:v>
                </c:pt>
                <c:pt idx="6">
                  <c:v>7.4372949002217297</c:v>
                </c:pt>
                <c:pt idx="7">
                  <c:v>7.6350638428014372</c:v>
                </c:pt>
                <c:pt idx="8">
                  <c:v>7.862824877522212</c:v>
                </c:pt>
                <c:pt idx="9">
                  <c:v>8.7541789577187803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F-4D73-8601-6FFAF00A6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2087072"/>
        <c:axId val="747940792"/>
      </c:barChart>
      <c:catAx>
        <c:axId val="61208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7940792"/>
        <c:crosses val="autoZero"/>
        <c:auto val="1"/>
        <c:lblAlgn val="ctr"/>
        <c:lblOffset val="100"/>
        <c:noMultiLvlLbl val="0"/>
      </c:catAx>
      <c:valAx>
        <c:axId val="74794079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6120870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(2022).xlsx]Shortest Hospital Stay!PivotTable1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States with the</a:t>
            </a:r>
            <a:r>
              <a:rPr lang="ru-RU" b="1" baseline="0"/>
              <a:t> </a:t>
            </a:r>
            <a:r>
              <a:rPr lang="en-US" b="1" baseline="0"/>
              <a:t>Shortest  </a:t>
            </a:r>
            <a:r>
              <a:rPr lang="en-US" b="1"/>
              <a:t> Hospital Stays</a:t>
            </a:r>
          </a:p>
        </c:rich>
      </c:tx>
      <c:layout>
        <c:manualLayout>
          <c:xMode val="edge"/>
          <c:yMode val="edge"/>
          <c:x val="0.25796293939008202"/>
          <c:y val="4.3624161073825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74D054"/>
          </a:solidFill>
          <a:ln>
            <a:noFill/>
          </a:ln>
          <a:effectLst/>
        </c:spPr>
      </c:pivotFmt>
      <c:pivotFmt>
        <c:idx val="7"/>
        <c:spPr>
          <a:solidFill>
            <a:srgbClr val="74D054"/>
          </a:solidFill>
          <a:ln>
            <a:noFill/>
          </a:ln>
          <a:effectLst/>
        </c:spPr>
      </c:pivotFmt>
      <c:pivotFmt>
        <c:idx val="8"/>
        <c:spPr>
          <a:solidFill>
            <a:srgbClr val="74D054"/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'Shortest Hospital Stay'!$B$1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97-4EEC-91A1-E636B0DA0CD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F97-4EEC-91A1-E636B0DA0CD8}"/>
              </c:ext>
            </c:extLst>
          </c:dPt>
          <c:dPt>
            <c:idx val="2"/>
            <c:invertIfNegative val="0"/>
            <c:bubble3D val="0"/>
            <c:spPr>
              <a:solidFill>
                <a:srgbClr val="74D05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97-4EEC-91A1-E636B0DA0CD8}"/>
              </c:ext>
            </c:extLst>
          </c:dPt>
          <c:dPt>
            <c:idx val="3"/>
            <c:invertIfNegative val="0"/>
            <c:bubble3D val="0"/>
            <c:spPr>
              <a:solidFill>
                <a:srgbClr val="74D05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F97-4EEC-91A1-E636B0DA0CD8}"/>
              </c:ext>
            </c:extLst>
          </c:dPt>
          <c:dPt>
            <c:idx val="4"/>
            <c:invertIfNegative val="0"/>
            <c:bubble3D val="0"/>
            <c:spPr>
              <a:solidFill>
                <a:srgbClr val="74D05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97-4EEC-91A1-E636B0DA0C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F97-4EEC-91A1-E636B0DA0CD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97-4EEC-91A1-E636B0DA0CD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F97-4EEC-91A1-E636B0DA0CD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97-4EEC-91A1-E636B0DA0CD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F97-4EEC-91A1-E636B0DA0C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'Shortest Hospital Stay'!$A$2:$A$12</c:f>
              <c:strCache>
                <c:ptCount val="10"/>
                <c:pt idx="0">
                  <c:v>Utah</c:v>
                </c:pt>
                <c:pt idx="1">
                  <c:v>Kansas</c:v>
                </c:pt>
                <c:pt idx="2">
                  <c:v>Wyoming</c:v>
                </c:pt>
                <c:pt idx="3">
                  <c:v>Colorado</c:v>
                </c:pt>
                <c:pt idx="4">
                  <c:v>Oklahoma</c:v>
                </c:pt>
                <c:pt idx="5">
                  <c:v>Ohio</c:v>
                </c:pt>
                <c:pt idx="6">
                  <c:v>California</c:v>
                </c:pt>
                <c:pt idx="7">
                  <c:v>Pennsylvania</c:v>
                </c:pt>
                <c:pt idx="8">
                  <c:v>Iowa</c:v>
                </c:pt>
                <c:pt idx="9">
                  <c:v>Arkansas</c:v>
                </c:pt>
              </c:strCache>
            </c:strRef>
          </c:cat>
          <c:val>
            <c:numRef>
              <c:f>'Shortest Hospital Stay'!$B$2:$B$12</c:f>
              <c:numCache>
                <c:formatCode>0.0</c:formatCode>
                <c:ptCount val="10"/>
                <c:pt idx="0">
                  <c:v>4.5126459143968871</c:v>
                </c:pt>
                <c:pt idx="1">
                  <c:v>5.2660328385196422</c:v>
                </c:pt>
                <c:pt idx="2">
                  <c:v>5.5614457831325304</c:v>
                </c:pt>
                <c:pt idx="3">
                  <c:v>5.5674924035638877</c:v>
                </c:pt>
                <c:pt idx="4">
                  <c:v>5.647034063449996</c:v>
                </c:pt>
                <c:pt idx="5">
                  <c:v>5.6776430464782877</c:v>
                </c:pt>
                <c:pt idx="6">
                  <c:v>5.6851282646097934</c:v>
                </c:pt>
                <c:pt idx="7">
                  <c:v>5.7169079161672478</c:v>
                </c:pt>
                <c:pt idx="8">
                  <c:v>5.7471610384191232</c:v>
                </c:pt>
                <c:pt idx="9">
                  <c:v>5.7532427371278372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7-4EEC-91A1-E636B0DA0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2534224"/>
        <c:axId val="1322530624"/>
      </c:barChart>
      <c:catAx>
        <c:axId val="1322534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530624"/>
        <c:crosses val="max"/>
        <c:auto val="1"/>
        <c:lblAlgn val="ctr"/>
        <c:lblOffset val="100"/>
        <c:noMultiLvlLbl val="0"/>
      </c:catAx>
      <c:valAx>
        <c:axId val="1322530624"/>
        <c:scaling>
          <c:orientation val="minMax"/>
          <c:min val="4.4000000000000004"/>
        </c:scaling>
        <c:delete val="1"/>
        <c:axPos val="b"/>
        <c:numFmt formatCode="0.0" sourceLinked="1"/>
        <c:majorTickMark val="out"/>
        <c:minorTickMark val="none"/>
        <c:tickLblPos val="nextTo"/>
        <c:crossAx val="132253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(2022).xlsx]Utilization Rate by State abs!PivotTable1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 States with Highest Utilization Rate</a:t>
            </a:r>
            <a:endParaRPr lang="en-US"/>
          </a:p>
        </c:rich>
      </c:tx>
      <c:layout>
        <c:manualLayout>
          <c:xMode val="edge"/>
          <c:yMode val="edge"/>
          <c:x val="0.24016359918200408"/>
          <c:y val="5.6338028169014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B7235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'Utilization Rate by State abs'!$B$3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CB7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C6-4AFD-87EB-EBC7FEDD34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'Utilization Rate by State abs'!$A$4:$A$13</c:f>
              <c:strCache>
                <c:ptCount val="10"/>
                <c:pt idx="0">
                  <c:v>Alabama</c:v>
                </c:pt>
                <c:pt idx="1">
                  <c:v>Texas</c:v>
                </c:pt>
                <c:pt idx="2">
                  <c:v>Pennsylvania</c:v>
                </c:pt>
                <c:pt idx="3">
                  <c:v>Massachusetts</c:v>
                </c:pt>
                <c:pt idx="4">
                  <c:v>New Jersey</c:v>
                </c:pt>
                <c:pt idx="5">
                  <c:v>Ohio</c:v>
                </c:pt>
                <c:pt idx="6">
                  <c:v>Missouri</c:v>
                </c:pt>
                <c:pt idx="7">
                  <c:v>Arkansas</c:v>
                </c:pt>
                <c:pt idx="8">
                  <c:v>Oklahoma</c:v>
                </c:pt>
                <c:pt idx="9">
                  <c:v>District of Columbia</c:v>
                </c:pt>
              </c:strCache>
            </c:strRef>
          </c:cat>
          <c:val>
            <c:numRef>
              <c:f>'Utilization Rate by State abs'!$B$4:$B$13</c:f>
              <c:numCache>
                <c:formatCode>General</c:formatCode>
                <c:ptCount val="10"/>
                <c:pt idx="0">
                  <c:v>225</c:v>
                </c:pt>
                <c:pt idx="1">
                  <c:v>227</c:v>
                </c:pt>
                <c:pt idx="2">
                  <c:v>227</c:v>
                </c:pt>
                <c:pt idx="3">
                  <c:v>228</c:v>
                </c:pt>
                <c:pt idx="4">
                  <c:v>230</c:v>
                </c:pt>
                <c:pt idx="5">
                  <c:v>231</c:v>
                </c:pt>
                <c:pt idx="6">
                  <c:v>232</c:v>
                </c:pt>
                <c:pt idx="7">
                  <c:v>235</c:v>
                </c:pt>
                <c:pt idx="8">
                  <c:v>238</c:v>
                </c:pt>
                <c:pt idx="9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6-4AFD-87EB-EBC7FEDD3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225952"/>
        <c:axId val="1144226312"/>
      </c:barChart>
      <c:catAx>
        <c:axId val="1144225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4226312"/>
        <c:crosses val="autoZero"/>
        <c:auto val="1"/>
        <c:lblAlgn val="ctr"/>
        <c:lblOffset val="100"/>
        <c:noMultiLvlLbl val="0"/>
      </c:catAx>
      <c:valAx>
        <c:axId val="1144226312"/>
        <c:scaling>
          <c:orientation val="minMax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422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(2022).xlsx]Utilization Rate by State abs!PivotTable2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</a:t>
            </a:r>
            <a:r>
              <a:rPr lang="en-US" b="1" baseline="0"/>
              <a:t> States with Lowest Utilization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'Utilization Rate by State abs'!$H$3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5E-4AE3-AB21-05EF4095C843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5E-4AE3-AB21-05EF4095C8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'Utilization Rate by State abs'!$G$4:$G$13</c:f>
              <c:strCache>
                <c:ptCount val="10"/>
                <c:pt idx="0">
                  <c:v>Wisconsin</c:v>
                </c:pt>
                <c:pt idx="1">
                  <c:v>Oregon</c:v>
                </c:pt>
                <c:pt idx="2">
                  <c:v>Minnesota</c:v>
                </c:pt>
                <c:pt idx="3">
                  <c:v>Utah</c:v>
                </c:pt>
                <c:pt idx="4">
                  <c:v>Montana</c:v>
                </c:pt>
                <c:pt idx="5">
                  <c:v>Vermont</c:v>
                </c:pt>
                <c:pt idx="6">
                  <c:v>Idaho</c:v>
                </c:pt>
                <c:pt idx="7">
                  <c:v>Maine</c:v>
                </c:pt>
                <c:pt idx="8">
                  <c:v>South Dakota</c:v>
                </c:pt>
                <c:pt idx="9">
                  <c:v>North Dakota</c:v>
                </c:pt>
              </c:strCache>
            </c:strRef>
          </c:cat>
          <c:val>
            <c:numRef>
              <c:f>'Utilization Rate by State abs'!$H$4:$H$13</c:f>
              <c:numCache>
                <c:formatCode>General</c:formatCode>
                <c:ptCount val="10"/>
                <c:pt idx="0">
                  <c:v>147</c:v>
                </c:pt>
                <c:pt idx="1">
                  <c:v>146</c:v>
                </c:pt>
                <c:pt idx="2">
                  <c:v>145</c:v>
                </c:pt>
                <c:pt idx="3">
                  <c:v>137</c:v>
                </c:pt>
                <c:pt idx="4">
                  <c:v>137</c:v>
                </c:pt>
                <c:pt idx="5">
                  <c:v>130</c:v>
                </c:pt>
                <c:pt idx="6">
                  <c:v>126</c:v>
                </c:pt>
                <c:pt idx="7">
                  <c:v>120</c:v>
                </c:pt>
                <c:pt idx="8">
                  <c:v>76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E-4AE3-AB21-05EF4095C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148032"/>
        <c:axId val="1149146592"/>
      </c:barChart>
      <c:catAx>
        <c:axId val="114914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146592"/>
        <c:crosses val="autoZero"/>
        <c:auto val="1"/>
        <c:lblAlgn val="ctr"/>
        <c:lblOffset val="100"/>
        <c:noMultiLvlLbl val="0"/>
      </c:catAx>
      <c:valAx>
        <c:axId val="1149146592"/>
        <c:scaling>
          <c:orientation val="minMax"/>
          <c:max val="3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1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</a:t>
            </a:r>
            <a:r>
              <a:rPr lang="en-US" baseline="0"/>
              <a:t> Rate vs LOS</a:t>
            </a:r>
            <a:endParaRPr lang="ru-RU" baseline="0"/>
          </a:p>
          <a:p>
            <a:pPr>
              <a:defRPr/>
            </a:pPr>
            <a:r>
              <a:rPr lang="en-US" sz="1400" b="0" i="0" u="none" strike="noStrike" baseline="0"/>
              <a:t>Weak positive correlation (R² = 0.19)</a:t>
            </a:r>
            <a:endParaRPr lang="en-US"/>
          </a:p>
        </c:rich>
      </c:tx>
      <c:layout>
        <c:manualLayout>
          <c:xMode val="edge"/>
          <c:yMode val="edge"/>
          <c:x val="0.25444952233996687"/>
          <c:y val="2.4054982817869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4130567972951509E-2"/>
          <c:y val="0.12745704467353952"/>
          <c:w val="0.85645728289727474"/>
          <c:h val="0.693442378980977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'Mortality Rate vs LOS'!$C$1</c:f>
              <c:strCache>
                <c:ptCount val="1"/>
                <c:pt idx="0">
                  <c:v>LOS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0183802673080848E-3"/>
                  <c:y val="-3.86259707227318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'Mortality Rate vs LOS'!$B$2:$B$54</c:f>
              <c:numCache>
                <c:formatCode>0.00%</c:formatCode>
                <c:ptCount val="53"/>
                <c:pt idx="0">
                  <c:v>7.5976838553777418E-2</c:v>
                </c:pt>
                <c:pt idx="1">
                  <c:v>5.6652724095939008E-2</c:v>
                </c:pt>
                <c:pt idx="2">
                  <c:v>5.4681217690982192E-2</c:v>
                </c:pt>
                <c:pt idx="3">
                  <c:v>5.4080629301868237E-2</c:v>
                </c:pt>
                <c:pt idx="4">
                  <c:v>5.3339754534973659E-2</c:v>
                </c:pt>
                <c:pt idx="5">
                  <c:v>5.0112098314373493E-2</c:v>
                </c:pt>
                <c:pt idx="6">
                  <c:v>4.8192931083710151E-2</c:v>
                </c:pt>
                <c:pt idx="7">
                  <c:v>4.7804933242815116E-2</c:v>
                </c:pt>
                <c:pt idx="8">
                  <c:v>4.6818312212078772E-2</c:v>
                </c:pt>
                <c:pt idx="9">
                  <c:v>4.6544491484467126E-2</c:v>
                </c:pt>
                <c:pt idx="10">
                  <c:v>4.5482664152944295E-2</c:v>
                </c:pt>
                <c:pt idx="11">
                  <c:v>4.4529697883126669E-2</c:v>
                </c:pt>
                <c:pt idx="12">
                  <c:v>4.430586951438148E-2</c:v>
                </c:pt>
                <c:pt idx="13">
                  <c:v>4.4159515598684737E-2</c:v>
                </c:pt>
                <c:pt idx="14">
                  <c:v>4.4120670080107276E-2</c:v>
                </c:pt>
                <c:pt idx="15">
                  <c:v>4.3962922118565763E-2</c:v>
                </c:pt>
                <c:pt idx="16">
                  <c:v>4.3792219892848823E-2</c:v>
                </c:pt>
                <c:pt idx="17">
                  <c:v>4.372408594044478E-2</c:v>
                </c:pt>
                <c:pt idx="18">
                  <c:v>4.328595398453626E-2</c:v>
                </c:pt>
                <c:pt idx="19">
                  <c:v>4.3083900226757371E-2</c:v>
                </c:pt>
                <c:pt idx="20">
                  <c:v>4.2841816664679941E-2</c:v>
                </c:pt>
                <c:pt idx="21">
                  <c:v>4.2724347515194855E-2</c:v>
                </c:pt>
                <c:pt idx="22">
                  <c:v>4.2664303955803409E-2</c:v>
                </c:pt>
                <c:pt idx="23">
                  <c:v>4.2445763206537604E-2</c:v>
                </c:pt>
                <c:pt idx="24">
                  <c:v>4.233972249934552E-2</c:v>
                </c:pt>
                <c:pt idx="25">
                  <c:v>4.2264548911827682E-2</c:v>
                </c:pt>
                <c:pt idx="26">
                  <c:v>4.20897329197246E-2</c:v>
                </c:pt>
                <c:pt idx="27">
                  <c:v>4.182363833727093E-2</c:v>
                </c:pt>
                <c:pt idx="28">
                  <c:v>4.17920815003473E-2</c:v>
                </c:pt>
                <c:pt idx="29">
                  <c:v>4.1625712600747003E-2</c:v>
                </c:pt>
                <c:pt idx="30">
                  <c:v>4.1366931500368728E-2</c:v>
                </c:pt>
                <c:pt idx="31">
                  <c:v>4.0798226164079826E-2</c:v>
                </c:pt>
                <c:pt idx="32">
                  <c:v>4.014382990550306E-2</c:v>
                </c:pt>
                <c:pt idx="33">
                  <c:v>4.0137947725072606E-2</c:v>
                </c:pt>
                <c:pt idx="34">
                  <c:v>3.9847616928980589E-2</c:v>
                </c:pt>
                <c:pt idx="35">
                  <c:v>3.9759036144578312E-2</c:v>
                </c:pt>
                <c:pt idx="36">
                  <c:v>3.9637502270954229E-2</c:v>
                </c:pt>
                <c:pt idx="37">
                  <c:v>3.9604470309522584E-2</c:v>
                </c:pt>
                <c:pt idx="38">
                  <c:v>3.9070265310803577E-2</c:v>
                </c:pt>
                <c:pt idx="39">
                  <c:v>3.8725290375178661E-2</c:v>
                </c:pt>
                <c:pt idx="40">
                  <c:v>3.7796377847122982E-2</c:v>
                </c:pt>
                <c:pt idx="41">
                  <c:v>3.7698731711007918E-2</c:v>
                </c:pt>
                <c:pt idx="42">
                  <c:v>3.737103212121004E-2</c:v>
                </c:pt>
                <c:pt idx="43">
                  <c:v>3.7170988055148665E-2</c:v>
                </c:pt>
                <c:pt idx="44">
                  <c:v>3.6339845274442735E-2</c:v>
                </c:pt>
                <c:pt idx="45">
                  <c:v>3.5994729653421625E-2</c:v>
                </c:pt>
                <c:pt idx="46">
                  <c:v>3.4325768378373735E-2</c:v>
                </c:pt>
                <c:pt idx="47">
                  <c:v>3.2148263224984069E-2</c:v>
                </c:pt>
                <c:pt idx="48">
                  <c:v>2.9089818563502776E-2</c:v>
                </c:pt>
                <c:pt idx="49">
                  <c:v>2.7129269347168181E-2</c:v>
                </c:pt>
                <c:pt idx="50">
                  <c:v>2.631826683457876E-2</c:v>
                </c:pt>
                <c:pt idx="51">
                  <c:v>1.6032219339348643E-2</c:v>
                </c:pt>
              </c:numCache>
            </c:numRef>
          </c:xVal>
          <c:yVal>
            <c:numRef>
              <c:f>'Mortality Rate vs LOS'!$C$2:$C$54</c:f>
              <c:numCache>
                <c:formatCode>0.0</c:formatCode>
                <c:ptCount val="53"/>
                <c:pt idx="0">
                  <c:v>6.924105229562759</c:v>
                </c:pt>
                <c:pt idx="1">
                  <c:v>7.4134378143696722</c:v>
                </c:pt>
                <c:pt idx="2">
                  <c:v>6.2218265364732916</c:v>
                </c:pt>
                <c:pt idx="3">
                  <c:v>8.7541789577187803</c:v>
                </c:pt>
                <c:pt idx="4">
                  <c:v>6.4642382849554165</c:v>
                </c:pt>
                <c:pt idx="5">
                  <c:v>7.862824877522212</c:v>
                </c:pt>
                <c:pt idx="6">
                  <c:v>6.4655352151019567</c:v>
                </c:pt>
                <c:pt idx="7">
                  <c:v>6.4015048653541529</c:v>
                </c:pt>
                <c:pt idx="8">
                  <c:v>6.3591653870167564</c:v>
                </c:pt>
                <c:pt idx="9">
                  <c:v>5.6851282646097934</c:v>
                </c:pt>
                <c:pt idx="10">
                  <c:v>5.9471823725218727</c:v>
                </c:pt>
                <c:pt idx="11">
                  <c:v>6.8183873398643557</c:v>
                </c:pt>
                <c:pt idx="12">
                  <c:v>5.647034063449996</c:v>
                </c:pt>
                <c:pt idx="13">
                  <c:v>6.3972351431550241</c:v>
                </c:pt>
                <c:pt idx="14">
                  <c:v>5.7169079161672478</c:v>
                </c:pt>
                <c:pt idx="15">
                  <c:v>5.7471610384191232</c:v>
                </c:pt>
                <c:pt idx="16">
                  <c:v>6.1101793617516886</c:v>
                </c:pt>
                <c:pt idx="17">
                  <c:v>6.0652091971353181</c:v>
                </c:pt>
                <c:pt idx="18">
                  <c:v>6.7752512271051275</c:v>
                </c:pt>
                <c:pt idx="19">
                  <c:v>6.7006802721088432</c:v>
                </c:pt>
                <c:pt idx="20">
                  <c:v>7.1131243294790796</c:v>
                </c:pt>
                <c:pt idx="21">
                  <c:v>7.1172685019663922</c:v>
                </c:pt>
                <c:pt idx="22">
                  <c:v>6.1824256006671181</c:v>
                </c:pt>
                <c:pt idx="23">
                  <c:v>6.6651133378733336</c:v>
                </c:pt>
                <c:pt idx="24">
                  <c:v>5.7652282198778773</c:v>
                </c:pt>
                <c:pt idx="25">
                  <c:v>5.9544597488095619</c:v>
                </c:pt>
                <c:pt idx="26">
                  <c:v>5.8389574033441782</c:v>
                </c:pt>
                <c:pt idx="27">
                  <c:v>6.5483259902517936</c:v>
                </c:pt>
                <c:pt idx="28">
                  <c:v>6.0535309099328547</c:v>
                </c:pt>
                <c:pt idx="29">
                  <c:v>5.8106447808138393</c:v>
                </c:pt>
                <c:pt idx="30">
                  <c:v>6.1713534347215075</c:v>
                </c:pt>
                <c:pt idx="31">
                  <c:v>7.4372949002217297</c:v>
                </c:pt>
                <c:pt idx="32">
                  <c:v>6.1920685102834909</c:v>
                </c:pt>
                <c:pt idx="33">
                  <c:v>6.136540012907389</c:v>
                </c:pt>
                <c:pt idx="34">
                  <c:v>6.1300956565263336</c:v>
                </c:pt>
                <c:pt idx="35">
                  <c:v>5.5614457831325304</c:v>
                </c:pt>
                <c:pt idx="36">
                  <c:v>5.9189296057623464</c:v>
                </c:pt>
                <c:pt idx="37">
                  <c:v>5.5674924035638877</c:v>
                </c:pt>
                <c:pt idx="38">
                  <c:v>7.6350638428014372</c:v>
                </c:pt>
                <c:pt idx="39">
                  <c:v>6.0444579749330503</c:v>
                </c:pt>
                <c:pt idx="40">
                  <c:v>5.2660328385196422</c:v>
                </c:pt>
                <c:pt idx="41">
                  <c:v>6.4048310366678329</c:v>
                </c:pt>
                <c:pt idx="42">
                  <c:v>5.6776430464782877</c:v>
                </c:pt>
                <c:pt idx="43">
                  <c:v>6.6037812778423799</c:v>
                </c:pt>
                <c:pt idx="44">
                  <c:v>5.8139620302564223</c:v>
                </c:pt>
                <c:pt idx="45">
                  <c:v>6.7146483781135826</c:v>
                </c:pt>
                <c:pt idx="46">
                  <c:v>5.7532427371278372</c:v>
                </c:pt>
                <c:pt idx="47">
                  <c:v>5.8466877788400256</c:v>
                </c:pt>
                <c:pt idx="48">
                  <c:v>6.5428799920027991</c:v>
                </c:pt>
                <c:pt idx="49">
                  <c:v>4.5126459143968871</c:v>
                </c:pt>
                <c:pt idx="50">
                  <c:v>5.91175023490523</c:v>
                </c:pt>
                <c:pt idx="51">
                  <c:v>5.8968361538163654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9-442C-B15A-AA2FB411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629536"/>
        <c:axId val="1281629176"/>
      </c:scatterChart>
      <c:valAx>
        <c:axId val="128162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Mortality</a:t>
                </a:r>
                <a:r>
                  <a:rPr lang="en-US" sz="1100" baseline="0"/>
                  <a:t> Rate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0.4311948989085298"/>
              <c:y val="0.92096219931271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1629176"/>
        <c:crosses val="autoZero"/>
        <c:crossBetween val="midCat"/>
      </c:valAx>
      <c:valAx>
        <c:axId val="1281629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Average</a:t>
                </a:r>
                <a:r>
                  <a:rPr lang="en-US" sz="1100" baseline="0"/>
                  <a:t> Length of Stay (days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162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(2022).xlsx]Utilization Rate by State!PivotTable1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Utilization Rate Top 10 States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'Utilization Rate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'Utilization Rate by State'!$A$4:$A$14</c:f>
              <c:strCache>
                <c:ptCount val="10"/>
                <c:pt idx="0">
                  <c:v>Massachusetts</c:v>
                </c:pt>
                <c:pt idx="1">
                  <c:v>Kentucky</c:v>
                </c:pt>
                <c:pt idx="2">
                  <c:v>South Carolina</c:v>
                </c:pt>
                <c:pt idx="3">
                  <c:v>Pennsylvania</c:v>
                </c:pt>
                <c:pt idx="4">
                  <c:v>Alabama</c:v>
                </c:pt>
                <c:pt idx="5">
                  <c:v>Ohio</c:v>
                </c:pt>
                <c:pt idx="6">
                  <c:v>Missouri</c:v>
                </c:pt>
                <c:pt idx="7">
                  <c:v>Arkansas</c:v>
                </c:pt>
                <c:pt idx="8">
                  <c:v>Oklahoma</c:v>
                </c:pt>
                <c:pt idx="9">
                  <c:v>District of Columbia</c:v>
                </c:pt>
              </c:strCache>
            </c:strRef>
          </c:cat>
          <c:val>
            <c:numRef>
              <c:f>'Utilization Rate by State'!$B$4:$B$14</c:f>
              <c:numCache>
                <c:formatCode>0.0%</c:formatCode>
                <c:ptCount val="10"/>
                <c:pt idx="0">
                  <c:v>0.14738728644886842</c:v>
                </c:pt>
                <c:pt idx="1">
                  <c:v>0.14756820671547063</c:v>
                </c:pt>
                <c:pt idx="2">
                  <c:v>0.14939201171536076</c:v>
                </c:pt>
                <c:pt idx="3">
                  <c:v>0.1504418051984</c:v>
                </c:pt>
                <c:pt idx="4">
                  <c:v>0.15078018476897079</c:v>
                </c:pt>
                <c:pt idx="5">
                  <c:v>0.15124093678850159</c:v>
                </c:pt>
                <c:pt idx="6">
                  <c:v>0.15188293508585188</c:v>
                </c:pt>
                <c:pt idx="7">
                  <c:v>0.15436260611771938</c:v>
                </c:pt>
                <c:pt idx="8">
                  <c:v>0.16028528807118844</c:v>
                </c:pt>
                <c:pt idx="9">
                  <c:v>0.16196758386732002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1-4E2E-9025-1966F5AB0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8645760"/>
        <c:axId val="748650800"/>
      </c:barChart>
      <c:catAx>
        <c:axId val="74864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650800"/>
        <c:crosses val="autoZero"/>
        <c:auto val="1"/>
        <c:lblAlgn val="ctr"/>
        <c:lblOffset val="100"/>
        <c:noMultiLvlLbl val="0"/>
      </c:catAx>
      <c:valAx>
        <c:axId val="748650800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7486457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(2022).xlsx]Utilization Rate by State!PivotTable2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Utilization</a:t>
            </a:r>
            <a:r>
              <a:rPr lang="en-US" b="1" baseline="0"/>
              <a:t> Rate 10 Bottom</a:t>
            </a:r>
            <a:endParaRPr lang="en-US" b="1"/>
          </a:p>
        </c:rich>
      </c:tx>
      <c:layout>
        <c:manualLayout>
          <c:xMode val="edge"/>
          <c:yMode val="edge"/>
          <c:x val="0.39094378888369102"/>
          <c:y val="6.4258815474152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'Utilization Rate by State'!$E$3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'Utilization Rate by State'!$D$4:$D$14</c:f>
              <c:strCache>
                <c:ptCount val="10"/>
                <c:pt idx="0">
                  <c:v>New Hampshire</c:v>
                </c:pt>
                <c:pt idx="1">
                  <c:v>Wisconsin</c:v>
                </c:pt>
                <c:pt idx="2">
                  <c:v>Montana</c:v>
                </c:pt>
                <c:pt idx="3">
                  <c:v>Utah</c:v>
                </c:pt>
                <c:pt idx="4">
                  <c:v>Minnesota</c:v>
                </c:pt>
                <c:pt idx="5">
                  <c:v>Idaho</c:v>
                </c:pt>
                <c:pt idx="6">
                  <c:v>Vermont</c:v>
                </c:pt>
                <c:pt idx="7">
                  <c:v>Maine</c:v>
                </c:pt>
                <c:pt idx="8">
                  <c:v>South Dakota</c:v>
                </c:pt>
                <c:pt idx="9">
                  <c:v>North Dakota</c:v>
                </c:pt>
              </c:strCache>
            </c:strRef>
          </c:cat>
          <c:val>
            <c:numRef>
              <c:f>'Utilization Rate by State'!$E$4:$E$14</c:f>
              <c:numCache>
                <c:formatCode>0.0%</c:formatCode>
                <c:ptCount val="10"/>
                <c:pt idx="0">
                  <c:v>0.1062592193499116</c:v>
                </c:pt>
                <c:pt idx="1">
                  <c:v>0.10434661422918122</c:v>
                </c:pt>
                <c:pt idx="2">
                  <c:v>0.10244809811308858</c:v>
                </c:pt>
                <c:pt idx="3">
                  <c:v>0.10162515569690674</c:v>
                </c:pt>
                <c:pt idx="4">
                  <c:v>0.10139900797012615</c:v>
                </c:pt>
                <c:pt idx="5">
                  <c:v>9.6381150098549861E-2</c:v>
                </c:pt>
                <c:pt idx="6">
                  <c:v>9.1649410177063212E-2</c:v>
                </c:pt>
                <c:pt idx="7">
                  <c:v>8.9568050424283716E-2</c:v>
                </c:pt>
                <c:pt idx="8">
                  <c:v>5.3948022438400911E-2</c:v>
                </c:pt>
                <c:pt idx="9">
                  <c:v>4.7820903430918001E-2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B-4D12-85F9-3E5B4CF70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602408"/>
        <c:axId val="1380598448"/>
      </c:barChart>
      <c:catAx>
        <c:axId val="138060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598448"/>
        <c:crosses val="autoZero"/>
        <c:auto val="1"/>
        <c:lblAlgn val="ctr"/>
        <c:lblOffset val="100"/>
        <c:noMultiLvlLbl val="0"/>
      </c:catAx>
      <c:valAx>
        <c:axId val="1380598448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60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(2022).xlsx]ER Admition Analysis table!PivotTable10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Highest ER Dependency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 Admition Analysis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D-4C8D-9FBA-C1F8CFF93373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D-4C8D-9FBA-C1F8CFF93373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D-4C8D-9FBA-C1F8CFF933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 Admition Analysis table'!$A$2:$A$11</c:f>
              <c:strCache>
                <c:ptCount val="10"/>
                <c:pt idx="0">
                  <c:v>Virginia</c:v>
                </c:pt>
                <c:pt idx="1">
                  <c:v>California</c:v>
                </c:pt>
                <c:pt idx="2">
                  <c:v>Florida</c:v>
                </c:pt>
                <c:pt idx="3">
                  <c:v>Alaska</c:v>
                </c:pt>
                <c:pt idx="4">
                  <c:v>Rhode Island</c:v>
                </c:pt>
                <c:pt idx="5">
                  <c:v>New Jersey</c:v>
                </c:pt>
                <c:pt idx="6">
                  <c:v>Delaware</c:v>
                </c:pt>
                <c:pt idx="7">
                  <c:v>Hawaii</c:v>
                </c:pt>
                <c:pt idx="8">
                  <c:v>Nevada</c:v>
                </c:pt>
                <c:pt idx="9">
                  <c:v>District of Columbia</c:v>
                </c:pt>
              </c:strCache>
            </c:strRef>
          </c:cat>
          <c:val>
            <c:numRef>
              <c:f>'ER Admition Analysis table'!$B$2:$B$11</c:f>
              <c:numCache>
                <c:formatCode>0.0%</c:formatCode>
                <c:ptCount val="10"/>
                <c:pt idx="0">
                  <c:v>0.8247920217343615</c:v>
                </c:pt>
                <c:pt idx="1">
                  <c:v>0.82933170948597501</c:v>
                </c:pt>
                <c:pt idx="2">
                  <c:v>0.83073679424078095</c:v>
                </c:pt>
                <c:pt idx="3">
                  <c:v>0.84807256235827666</c:v>
                </c:pt>
                <c:pt idx="4">
                  <c:v>0.85048212833520509</c:v>
                </c:pt>
                <c:pt idx="5">
                  <c:v>0.86200587179451504</c:v>
                </c:pt>
                <c:pt idx="6">
                  <c:v>0.86252771618625279</c:v>
                </c:pt>
                <c:pt idx="7">
                  <c:v>0.87017354479780784</c:v>
                </c:pt>
                <c:pt idx="8">
                  <c:v>0.87136951083935521</c:v>
                </c:pt>
                <c:pt idx="9">
                  <c:v>0.87526337968815848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D-4C8D-9FBA-C1F8CFF93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694296"/>
        <c:axId val="744689976"/>
      </c:barChart>
      <c:catAx>
        <c:axId val="744694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689976"/>
        <c:crosses val="autoZero"/>
        <c:auto val="1"/>
        <c:lblAlgn val="ctr"/>
        <c:lblOffset val="100"/>
        <c:noMultiLvlLbl val="0"/>
      </c:catAx>
      <c:valAx>
        <c:axId val="74468997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744694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(2022).xlsx]ER Admition Analysis table!PivotTable11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Lowest</a:t>
            </a:r>
            <a:r>
              <a:rPr lang="en-US" baseline="0"/>
              <a:t> ER Dependency States</a:t>
            </a:r>
            <a:endParaRPr lang="en-US"/>
          </a:p>
        </c:rich>
      </c:tx>
      <c:layout>
        <c:manualLayout>
          <c:xMode val="edge"/>
          <c:yMode val="edge"/>
          <c:x val="0.32215267061466568"/>
          <c:y val="3.806244687845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 Admition Analysis table'!$L$1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F7-444E-9E28-2386E046FA6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7-444E-9E28-2386E046FA6A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F7-444E-9E28-2386E046FA6A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F7-444E-9E28-2386E046FA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 Admition Analysis table'!$K$2:$K$11</c:f>
              <c:strCache>
                <c:ptCount val="10"/>
                <c:pt idx="0">
                  <c:v>Puerto Rico</c:v>
                </c:pt>
                <c:pt idx="1">
                  <c:v>South Dakota</c:v>
                </c:pt>
                <c:pt idx="2">
                  <c:v>Wisconsin</c:v>
                </c:pt>
                <c:pt idx="3">
                  <c:v>Nebraska</c:v>
                </c:pt>
                <c:pt idx="4">
                  <c:v>Vermont</c:v>
                </c:pt>
                <c:pt idx="5">
                  <c:v>Minnesota</c:v>
                </c:pt>
                <c:pt idx="6">
                  <c:v>Montana</c:v>
                </c:pt>
                <c:pt idx="7">
                  <c:v>Maine</c:v>
                </c:pt>
                <c:pt idx="8">
                  <c:v>Utah</c:v>
                </c:pt>
                <c:pt idx="9">
                  <c:v>Iowa</c:v>
                </c:pt>
              </c:strCache>
            </c:strRef>
          </c:cat>
          <c:val>
            <c:numRef>
              <c:f>'ER Admition Analysis table'!$L$2:$L$11</c:f>
              <c:numCache>
                <c:formatCode>0.0%</c:formatCode>
                <c:ptCount val="10"/>
                <c:pt idx="0">
                  <c:v>0.20458669584644143</c:v>
                </c:pt>
                <c:pt idx="1">
                  <c:v>0.70882832518052641</c:v>
                </c:pt>
                <c:pt idx="2">
                  <c:v>0.71847605149319849</c:v>
                </c:pt>
                <c:pt idx="3">
                  <c:v>0.71990269291694953</c:v>
                </c:pt>
                <c:pt idx="4">
                  <c:v>0.73131927064712188</c:v>
                </c:pt>
                <c:pt idx="5">
                  <c:v>0.73521039461903992</c:v>
                </c:pt>
                <c:pt idx="6">
                  <c:v>0.73727742676622632</c:v>
                </c:pt>
                <c:pt idx="7">
                  <c:v>0.73844789356984475</c:v>
                </c:pt>
                <c:pt idx="8">
                  <c:v>0.73904741317192679</c:v>
                </c:pt>
                <c:pt idx="9">
                  <c:v>0.7403058031057197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7-444E-9E28-2386E046F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572296"/>
        <c:axId val="1333574096"/>
      </c:barChart>
      <c:catAx>
        <c:axId val="133357229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3574096"/>
        <c:crosses val="max"/>
        <c:auto val="1"/>
        <c:lblAlgn val="ctr"/>
        <c:lblOffset val="100"/>
        <c:noMultiLvlLbl val="0"/>
      </c:catAx>
      <c:valAx>
        <c:axId val="1333574096"/>
        <c:scaling>
          <c:orientation val="minMax"/>
          <c:max val="0.8"/>
          <c:min val="0.70000000000000007"/>
        </c:scaling>
        <c:delete val="1"/>
        <c:axPos val="b"/>
        <c:numFmt formatCode="0.0%" sourceLinked="1"/>
        <c:majorTickMark val="out"/>
        <c:minorTickMark val="none"/>
        <c:tickLblPos val="nextTo"/>
        <c:crossAx val="13335722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'MOrtality Rate Visaul Table'!$B$1</c:f>
              <c:strCache>
                <c:ptCount val="1"/>
                <c:pt idx="0">
                  <c:v>Mortality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'MOrtality Rate Visaul Table'!$A$2:$A$54</c:f>
              <c:strCache>
                <c:ptCount val="10"/>
                <c:pt idx="0">
                  <c:v>California</c:v>
                </c:pt>
                <c:pt idx="1">
                  <c:v>Virginia</c:v>
                </c:pt>
                <c:pt idx="2">
                  <c:v>Nebraska</c:v>
                </c:pt>
                <c:pt idx="3">
                  <c:v>Tennessee</c:v>
                </c:pt>
                <c:pt idx="4">
                  <c:v>Hawaii</c:v>
                </c:pt>
                <c:pt idx="5">
                  <c:v>Oregon</c:v>
                </c:pt>
                <c:pt idx="6">
                  <c:v>District of Columbia</c:v>
                </c:pt>
                <c:pt idx="7">
                  <c:v>Montana</c:v>
                </c:pt>
                <c:pt idx="8">
                  <c:v>Washington</c:v>
                </c:pt>
                <c:pt idx="9">
                  <c:v>Puerto Rico</c:v>
                </c:pt>
              </c:strCache>
            </c:strRef>
          </c:cat>
          <c:val>
            <c:numRef>
              <c:f>'MOrtality Rate Visaul Table'!$B$2:$B$54</c:f>
              <c:numCache>
                <c:formatCode>0.0%</c:formatCode>
                <c:ptCount val="10"/>
                <c:pt idx="0">
                  <c:v>4.6544491484467126E-2</c:v>
                </c:pt>
                <c:pt idx="1">
                  <c:v>4.6818312212078772E-2</c:v>
                </c:pt>
                <c:pt idx="2">
                  <c:v>4.7804933242815116E-2</c:v>
                </c:pt>
                <c:pt idx="3">
                  <c:v>4.8192931083710151E-2</c:v>
                </c:pt>
                <c:pt idx="4">
                  <c:v>5.0112098314373493E-2</c:v>
                </c:pt>
                <c:pt idx="5">
                  <c:v>5.3339754534973659E-2</c:v>
                </c:pt>
                <c:pt idx="6">
                  <c:v>5.4080629301868237E-2</c:v>
                </c:pt>
                <c:pt idx="7">
                  <c:v>5.4681217690982192E-2</c:v>
                </c:pt>
                <c:pt idx="8">
                  <c:v>5.6652724095939008E-2</c:v>
                </c:pt>
                <c:pt idx="9">
                  <c:v>7.5976838553777418E-2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3-49E3-8F46-2D0C6CB0AD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424304184"/>
        <c:axId val="1424304904"/>
      </c:barChart>
      <c:catAx>
        <c:axId val="142430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304904"/>
        <c:crosses val="autoZero"/>
        <c:auto val="1"/>
        <c:lblAlgn val="ctr"/>
        <c:lblOffset val="100"/>
        <c:noMultiLvlLbl val="0"/>
      </c:catAx>
      <c:valAx>
        <c:axId val="1424304904"/>
        <c:scaling>
          <c:orientation val="minMax"/>
        </c:scaling>
        <c:delete val="0"/>
        <c:axPos val="b"/>
        <c:numFmt formatCode="0.0%" sourceLinked="1"/>
        <c:majorTickMark val="cross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304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(2022).xlsx]Longest Hospital Stay!PivotTable2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ysClr val="windowText" lastClr="000000"/>
                </a:solidFill>
              </a:rPr>
              <a:t>Top 10 States with the Longest Hospital Stays</a:t>
            </a:r>
            <a:endParaRPr lang="en-US" sz="13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7B2AB"/>
          </a:solidFill>
          <a:ln>
            <a:noFill/>
          </a:ln>
          <a:effectLst/>
        </c:spPr>
      </c:pivotFmt>
      <c:pivotFmt>
        <c:idx val="7"/>
        <c:spPr>
          <a:solidFill>
            <a:srgbClr val="F7B2AB"/>
          </a:solidFill>
          <a:ln>
            <a:noFill/>
          </a:ln>
          <a:effectLst/>
        </c:spPr>
      </c:pivotFmt>
      <c:pivotFmt>
        <c:idx val="8"/>
        <c:spPr>
          <a:solidFill>
            <a:srgbClr val="F7B2AB"/>
          </a:solidFill>
          <a:ln>
            <a:noFill/>
          </a:ln>
          <a:effectLst/>
        </c:spPr>
      </c:pivotFmt>
      <c:pivotFmt>
        <c:idx val="9"/>
        <c:spPr>
          <a:solidFill>
            <a:srgbClr val="F7B2AB"/>
          </a:solidFill>
          <a:ln>
            <a:noFill/>
          </a:ln>
          <a:effectLst/>
        </c:spPr>
      </c:pivotFmt>
      <c:pivotFmt>
        <c:idx val="10"/>
        <c:spPr>
          <a:solidFill>
            <a:srgbClr val="F7B2AB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7B2AB"/>
          </a:solidFill>
          <a:ln>
            <a:noFill/>
          </a:ln>
          <a:effectLst/>
        </c:spPr>
      </c:pivotFmt>
      <c:pivotFmt>
        <c:idx val="13"/>
        <c:spPr>
          <a:solidFill>
            <a:srgbClr val="F7B2AB"/>
          </a:solidFill>
          <a:ln>
            <a:noFill/>
          </a:ln>
          <a:effectLst/>
        </c:spPr>
      </c:pivotFmt>
      <c:pivotFmt>
        <c:idx val="14"/>
        <c:spPr>
          <a:solidFill>
            <a:srgbClr val="F7B2AB"/>
          </a:solidFill>
          <a:ln>
            <a:noFill/>
          </a:ln>
          <a:effectLst/>
        </c:spPr>
      </c:pivotFmt>
      <c:pivotFmt>
        <c:idx val="15"/>
        <c:spPr>
          <a:solidFill>
            <a:srgbClr val="F7B2AB"/>
          </a:solidFill>
          <a:ln>
            <a:noFill/>
          </a:ln>
          <a:effectLst/>
        </c:spPr>
      </c:pivotFmt>
      <c:pivotFmt>
        <c:idx val="16"/>
        <c:spPr>
          <a:solidFill>
            <a:srgbClr val="F7B2AB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4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6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8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9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1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2"/>
        <c:spPr>
          <a:solidFill>
            <a:srgbClr val="C00000"/>
          </a:solidFill>
          <a:ln>
            <a:solidFill>
              <a:srgbClr val="0070C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'Longest Hospital Stay'!$B$1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39-4F94-B428-5B00D9C71D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39-4F94-B428-5B00D9C71D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39-4F94-B428-5B00D9C71D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39-4F94-B428-5B00D9C71D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39-4F94-B428-5B00D9C71D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39-4F94-B428-5B00D9C71D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39-4F94-B428-5B00D9C71D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39-4F94-B428-5B00D9C71D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839-4F94-B428-5B00D9C71DAF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839-4F94-B428-5B00D9C71D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'Longest Hospital Stay'!$A$2:$A$12</c:f>
              <c:strCache>
                <c:ptCount val="10"/>
                <c:pt idx="0">
                  <c:v>New York</c:v>
                </c:pt>
                <c:pt idx="1">
                  <c:v>New Hampshire</c:v>
                </c:pt>
                <c:pt idx="2">
                  <c:v>Puerto Rico</c:v>
                </c:pt>
                <c:pt idx="3">
                  <c:v>Maryland</c:v>
                </c:pt>
                <c:pt idx="4">
                  <c:v>Vermont</c:v>
                </c:pt>
                <c:pt idx="5">
                  <c:v>Washington</c:v>
                </c:pt>
                <c:pt idx="6">
                  <c:v>Maine</c:v>
                </c:pt>
                <c:pt idx="7">
                  <c:v>Delaware</c:v>
                </c:pt>
                <c:pt idx="8">
                  <c:v>Hawaii</c:v>
                </c:pt>
                <c:pt idx="9">
                  <c:v>District of Columbia</c:v>
                </c:pt>
              </c:strCache>
            </c:strRef>
          </c:cat>
          <c:val>
            <c:numRef>
              <c:f>'Longest Hospital Stay'!$B$2:$B$12</c:f>
              <c:numCache>
                <c:formatCode>0.0</c:formatCode>
                <c:ptCount val="10"/>
                <c:pt idx="0">
                  <c:v>6.7752512271051284</c:v>
                </c:pt>
                <c:pt idx="1">
                  <c:v>6.8183873398643557</c:v>
                </c:pt>
                <c:pt idx="2">
                  <c:v>6.924105229562759</c:v>
                </c:pt>
                <c:pt idx="3">
                  <c:v>7.1131243294790796</c:v>
                </c:pt>
                <c:pt idx="4">
                  <c:v>7.1172685019663922</c:v>
                </c:pt>
                <c:pt idx="5">
                  <c:v>7.4134378143696722</c:v>
                </c:pt>
                <c:pt idx="6">
                  <c:v>7.4372949002217297</c:v>
                </c:pt>
                <c:pt idx="7">
                  <c:v>7.6350638428014372</c:v>
                </c:pt>
                <c:pt idx="8">
                  <c:v>7.862824877522212</c:v>
                </c:pt>
                <c:pt idx="9">
                  <c:v>8.7541789577187803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839-4F94-B428-5B00D9C71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2087072"/>
        <c:axId val="747940792"/>
      </c:barChart>
      <c:catAx>
        <c:axId val="61208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7940792"/>
        <c:crosses val="autoZero"/>
        <c:auto val="1"/>
        <c:lblAlgn val="ctr"/>
        <c:lblOffset val="100"/>
        <c:noMultiLvlLbl val="0"/>
      </c:catAx>
      <c:valAx>
        <c:axId val="74794079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6120870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(2022).xlsx]Shortest Hospital Stay!PivotTable1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ysClr val="windowText" lastClr="000000"/>
                </a:solidFill>
              </a:rPr>
              <a:t>Top 10 States with the Shortest Hospital Stays</a:t>
            </a:r>
            <a:endParaRPr lang="en-US" sz="13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7B2AB"/>
          </a:solidFill>
          <a:ln>
            <a:noFill/>
          </a:ln>
          <a:effectLst/>
        </c:spPr>
      </c:pivotFmt>
      <c:pivotFmt>
        <c:idx val="7"/>
        <c:spPr>
          <a:solidFill>
            <a:srgbClr val="F7B2AB"/>
          </a:solidFill>
          <a:ln>
            <a:noFill/>
          </a:ln>
          <a:effectLst/>
        </c:spPr>
      </c:pivotFmt>
      <c:pivotFmt>
        <c:idx val="8"/>
        <c:spPr>
          <a:solidFill>
            <a:srgbClr val="F7B2AB"/>
          </a:solidFill>
          <a:ln>
            <a:noFill/>
          </a:ln>
          <a:effectLst/>
        </c:spPr>
      </c:pivotFmt>
      <c:pivotFmt>
        <c:idx val="9"/>
        <c:spPr>
          <a:solidFill>
            <a:srgbClr val="F7B2AB"/>
          </a:solidFill>
          <a:ln>
            <a:noFill/>
          </a:ln>
          <a:effectLst/>
        </c:spPr>
      </c:pivotFmt>
      <c:pivotFmt>
        <c:idx val="10"/>
        <c:spPr>
          <a:solidFill>
            <a:srgbClr val="F7B2AB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7B2AB"/>
          </a:solidFill>
          <a:ln>
            <a:noFill/>
          </a:ln>
          <a:effectLst/>
        </c:spPr>
      </c:pivotFmt>
      <c:pivotFmt>
        <c:idx val="13"/>
        <c:spPr>
          <a:solidFill>
            <a:srgbClr val="F7B2AB"/>
          </a:solidFill>
          <a:ln>
            <a:noFill/>
          </a:ln>
          <a:effectLst/>
        </c:spPr>
      </c:pivotFmt>
      <c:pivotFmt>
        <c:idx val="14"/>
        <c:spPr>
          <a:solidFill>
            <a:srgbClr val="F7B2AB"/>
          </a:solidFill>
          <a:ln>
            <a:noFill/>
          </a:ln>
          <a:effectLst/>
        </c:spPr>
      </c:pivotFmt>
      <c:pivotFmt>
        <c:idx val="15"/>
        <c:spPr>
          <a:solidFill>
            <a:srgbClr val="F7B2AB"/>
          </a:solidFill>
          <a:ln>
            <a:noFill/>
          </a:ln>
          <a:effectLst/>
        </c:spPr>
      </c:pivotFmt>
      <c:pivotFmt>
        <c:idx val="16"/>
        <c:spPr>
          <a:solidFill>
            <a:srgbClr val="F7B2AB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4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6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8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29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1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2"/>
        <c:spPr>
          <a:solidFill>
            <a:srgbClr val="C00000"/>
          </a:solidFill>
          <a:ln>
            <a:solidFill>
              <a:srgbClr val="0070C0"/>
            </a:solidFill>
          </a:ln>
          <a:effectLst/>
        </c:spPr>
      </c:pivotFmt>
      <c:pivotFmt>
        <c:idx val="33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5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6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7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8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39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0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2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3"/>
        <c:spPr>
          <a:solidFill>
            <a:srgbClr val="C00000"/>
          </a:solidFill>
          <a:ln>
            <a:solidFill>
              <a:srgbClr val="0070C0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7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8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49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53"/>
        <c:spPr>
          <a:solidFill>
            <a:schemeClr val="accent1"/>
          </a:solidFill>
          <a:ln>
            <a:solidFill>
              <a:srgbClr val="0070C0"/>
            </a:solidFill>
          </a:ln>
          <a:effectLst/>
        </c:spPr>
      </c:pivotFmt>
      <c:pivotFmt>
        <c:idx val="54"/>
        <c:spPr>
          <a:solidFill>
            <a:srgbClr val="C00000"/>
          </a:solidFill>
          <a:ln>
            <a:solidFill>
              <a:srgbClr val="0070C0"/>
            </a:solidFill>
          </a:ln>
          <a:effectLst/>
        </c:spPr>
      </c:pivotFmt>
      <c:pivotFmt>
        <c:idx val="55"/>
        <c:spPr>
          <a:solidFill>
            <a:srgbClr val="08306B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'Shortest Hospital Stay'!$B$1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8306B"/>
            </a:solidFill>
            <a:ln>
              <a:solidFill>
                <a:srgbClr val="0070C0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C713-4464-926B-37C0E380925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C713-4464-926B-37C0E380925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C713-4464-926B-37C0E380925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C713-4464-926B-37C0E380925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C713-4464-926B-37C0E380925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C713-4464-926B-37C0E380925D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C713-4464-926B-37C0E380925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C713-4464-926B-37C0E380925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6-C713-4464-926B-37C0E380925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C713-4464-926B-37C0E38092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'Shortest Hospital Stay'!$A$2:$A$12</c:f>
              <c:strCache>
                <c:ptCount val="10"/>
                <c:pt idx="0">
                  <c:v>Utah</c:v>
                </c:pt>
                <c:pt idx="1">
                  <c:v>Kansas</c:v>
                </c:pt>
                <c:pt idx="2">
                  <c:v>Wyoming</c:v>
                </c:pt>
                <c:pt idx="3">
                  <c:v>Colorado</c:v>
                </c:pt>
                <c:pt idx="4">
                  <c:v>Oklahoma</c:v>
                </c:pt>
                <c:pt idx="5">
                  <c:v>Ohio</c:v>
                </c:pt>
                <c:pt idx="6">
                  <c:v>California</c:v>
                </c:pt>
                <c:pt idx="7">
                  <c:v>Pennsylvania</c:v>
                </c:pt>
                <c:pt idx="8">
                  <c:v>Iowa</c:v>
                </c:pt>
                <c:pt idx="9">
                  <c:v>Arkansas</c:v>
                </c:pt>
              </c:strCache>
            </c:strRef>
          </c:cat>
          <c:val>
            <c:numRef>
              <c:f>'Shortest Hospital Stay'!$B$2:$B$12</c:f>
              <c:numCache>
                <c:formatCode>0.0</c:formatCode>
                <c:ptCount val="10"/>
                <c:pt idx="0">
                  <c:v>4.5126459143968871</c:v>
                </c:pt>
                <c:pt idx="1">
                  <c:v>5.2660328385196422</c:v>
                </c:pt>
                <c:pt idx="2">
                  <c:v>5.5614457831325304</c:v>
                </c:pt>
                <c:pt idx="3">
                  <c:v>5.5674924035638877</c:v>
                </c:pt>
                <c:pt idx="4">
                  <c:v>5.647034063449996</c:v>
                </c:pt>
                <c:pt idx="5">
                  <c:v>5.6776430464782877</c:v>
                </c:pt>
                <c:pt idx="6">
                  <c:v>5.6851282646097934</c:v>
                </c:pt>
                <c:pt idx="7">
                  <c:v>5.7169079161672478</c:v>
                </c:pt>
                <c:pt idx="8">
                  <c:v>5.7471610384191232</c:v>
                </c:pt>
                <c:pt idx="9">
                  <c:v>5.7532427371278372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713-4464-926B-37C0E3809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2087072"/>
        <c:axId val="747940792"/>
      </c:barChart>
      <c:catAx>
        <c:axId val="61208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7940792"/>
        <c:crosses val="autoZero"/>
        <c:auto val="1"/>
        <c:lblAlgn val="ctr"/>
        <c:lblOffset val="100"/>
        <c:noMultiLvlLbl val="0"/>
      </c:catAx>
      <c:valAx>
        <c:axId val="74794079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6120870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(2022).xlsx]ER Admition Analysis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/>
              <a:t>Highest ER Dependency States</a:t>
            </a:r>
            <a:endParaRPr lang="en-US" sz="1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8306B"/>
          </a:solidFill>
          <a:ln>
            <a:noFill/>
          </a:ln>
          <a:effectLst/>
        </c:spPr>
      </c:pivotFmt>
      <c:pivotFmt>
        <c:idx val="10"/>
        <c:spPr>
          <a:solidFill>
            <a:srgbClr val="08306B"/>
          </a:solidFill>
          <a:ln>
            <a:noFill/>
          </a:ln>
          <a:effectLst/>
        </c:spPr>
      </c:pivotFmt>
      <c:pivotFmt>
        <c:idx val="11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 Admition Analysis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0830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7-420A-8908-9C12A69BCE54}"/>
              </c:ext>
            </c:extLst>
          </c:dPt>
          <c:dPt>
            <c:idx val="8"/>
            <c:invertIfNegative val="0"/>
            <c:bubble3D val="0"/>
            <c:spPr>
              <a:solidFill>
                <a:srgbClr val="0830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7-420A-8908-9C12A69BCE54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67-420A-8908-9C12A69BCE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 Admition Analysis table'!$A$2:$A$11</c:f>
              <c:strCache>
                <c:ptCount val="10"/>
                <c:pt idx="0">
                  <c:v>Virginia</c:v>
                </c:pt>
                <c:pt idx="1">
                  <c:v>California</c:v>
                </c:pt>
                <c:pt idx="2">
                  <c:v>Florida</c:v>
                </c:pt>
                <c:pt idx="3">
                  <c:v>Alaska</c:v>
                </c:pt>
                <c:pt idx="4">
                  <c:v>Rhode Island</c:v>
                </c:pt>
                <c:pt idx="5">
                  <c:v>New Jersey</c:v>
                </c:pt>
                <c:pt idx="6">
                  <c:v>Delaware</c:v>
                </c:pt>
                <c:pt idx="7">
                  <c:v>Hawaii</c:v>
                </c:pt>
                <c:pt idx="8">
                  <c:v>Nevada</c:v>
                </c:pt>
                <c:pt idx="9">
                  <c:v>District of Columbia</c:v>
                </c:pt>
              </c:strCache>
            </c:strRef>
          </c:cat>
          <c:val>
            <c:numRef>
              <c:f>'ER Admition Analysis table'!$B$2:$B$11</c:f>
              <c:numCache>
                <c:formatCode>0.0%</c:formatCode>
                <c:ptCount val="10"/>
                <c:pt idx="0">
                  <c:v>0.8247920217343615</c:v>
                </c:pt>
                <c:pt idx="1">
                  <c:v>0.82933170948597501</c:v>
                </c:pt>
                <c:pt idx="2">
                  <c:v>0.83073679424078095</c:v>
                </c:pt>
                <c:pt idx="3">
                  <c:v>0.84807256235827666</c:v>
                </c:pt>
                <c:pt idx="4">
                  <c:v>0.85048212833520509</c:v>
                </c:pt>
                <c:pt idx="5">
                  <c:v>0.86200587179451504</c:v>
                </c:pt>
                <c:pt idx="6">
                  <c:v>0.86252771618625279</c:v>
                </c:pt>
                <c:pt idx="7">
                  <c:v>0.87017354479780784</c:v>
                </c:pt>
                <c:pt idx="8">
                  <c:v>0.87136951083935521</c:v>
                </c:pt>
                <c:pt idx="9">
                  <c:v>0.87526337968815848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67-420A-8908-9C12A69BC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694296"/>
        <c:axId val="744689976"/>
      </c:barChart>
      <c:catAx>
        <c:axId val="744694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689976"/>
        <c:crosses val="autoZero"/>
        <c:auto val="1"/>
        <c:lblAlgn val="ctr"/>
        <c:lblOffset val="100"/>
        <c:noMultiLvlLbl val="0"/>
      </c:catAx>
      <c:valAx>
        <c:axId val="74468997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744694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/>
              <a:t>Top 10 States by Mortality Rate</a:t>
            </a:r>
            <a:endParaRPr lang="en-US" sz="1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'MOrtality Rate Visaul Table'!$B$1</c:f>
              <c:strCache>
                <c:ptCount val="1"/>
                <c:pt idx="0">
                  <c:v>Mortality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5AA-49CB-8AEA-F82BE86F4C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'MOrtality Rate Visaul Table'!$A$2:$A$54</c:f>
              <c:strCache>
                <c:ptCount val="10"/>
                <c:pt idx="0">
                  <c:v>California</c:v>
                </c:pt>
                <c:pt idx="1">
                  <c:v>Virginia</c:v>
                </c:pt>
                <c:pt idx="2">
                  <c:v>Nebraska</c:v>
                </c:pt>
                <c:pt idx="3">
                  <c:v>Tennessee</c:v>
                </c:pt>
                <c:pt idx="4">
                  <c:v>Hawaii</c:v>
                </c:pt>
                <c:pt idx="5">
                  <c:v>Oregon</c:v>
                </c:pt>
                <c:pt idx="6">
                  <c:v>District of Columbia</c:v>
                </c:pt>
                <c:pt idx="7">
                  <c:v>Montana</c:v>
                </c:pt>
                <c:pt idx="8">
                  <c:v>Washington</c:v>
                </c:pt>
                <c:pt idx="9">
                  <c:v>Puerto Rico</c:v>
                </c:pt>
              </c:strCache>
            </c:strRef>
          </c:cat>
          <c:val>
            <c:numRef>
              <c:f>'MOrtality Rate Visaul Table'!$B$2:$B$54</c:f>
              <c:numCache>
                <c:formatCode>0.0%</c:formatCode>
                <c:ptCount val="10"/>
                <c:pt idx="0">
                  <c:v>4.6544491484467126E-2</c:v>
                </c:pt>
                <c:pt idx="1">
                  <c:v>4.6818312212078772E-2</c:v>
                </c:pt>
                <c:pt idx="2">
                  <c:v>4.7804933242815116E-2</c:v>
                </c:pt>
                <c:pt idx="3">
                  <c:v>4.8192931083710151E-2</c:v>
                </c:pt>
                <c:pt idx="4">
                  <c:v>5.0112098314373493E-2</c:v>
                </c:pt>
                <c:pt idx="5">
                  <c:v>5.3339754534973659E-2</c:v>
                </c:pt>
                <c:pt idx="6">
                  <c:v>5.4080629301868237E-2</c:v>
                </c:pt>
                <c:pt idx="7">
                  <c:v>5.4681217690982192E-2</c:v>
                </c:pt>
                <c:pt idx="8">
                  <c:v>5.6652724095939008E-2</c:v>
                </c:pt>
                <c:pt idx="9">
                  <c:v>7.5976838553777418E-2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2-4B1B-9A86-889DE1D8C8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4304184"/>
        <c:axId val="1424304904"/>
      </c:barChart>
      <c:catAx>
        <c:axId val="142430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4304904"/>
        <c:crosses val="autoZero"/>
        <c:auto val="1"/>
        <c:lblAlgn val="ctr"/>
        <c:lblOffset val="100"/>
        <c:noMultiLvlLbl val="0"/>
      </c:catAx>
      <c:valAx>
        <c:axId val="1424304904"/>
        <c:scaling>
          <c:orientation val="minMax"/>
        </c:scaling>
        <c:delete val="1"/>
        <c:axPos val="b"/>
        <c:numFmt formatCode="0.0%" sourceLinked="1"/>
        <c:majorTickMark val="cross"/>
        <c:minorTickMark val="none"/>
        <c:tickLblPos val="nextTo"/>
        <c:crossAx val="1424304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/>
              <a:t>Inpatient Efficiency Analysis: Discharges vs. Length of Stay</a:t>
            </a:r>
            <a:endParaRPr lang="en-US" sz="13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7685405603369E-2"/>
          <c:y val="0.10346518620194801"/>
          <c:w val="0.86346035666400889"/>
          <c:h val="0.7663893627356838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27B-4CF0-8C5E-922AF027C689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27B-4CF0-8C5E-922AF027C68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7B-4CF0-8C5E-922AF027C68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7B-4CF0-8C5E-922AF027C68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7B-4CF0-8C5E-922AF027C68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7B-4CF0-8C5E-922AF027C6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7B-4CF0-8C5E-922AF027C6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7B-4CF0-8C5E-922AF027C68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7B-4CF0-8C5E-922AF027C68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7B-4CF0-8C5E-922AF027C68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7B-4CF0-8C5E-922AF027C68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7B-4CF0-8C5E-922AF027C68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7B-4CF0-8C5E-922AF027C68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7B-4CF0-8C5E-922AF027C68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7B-4CF0-8C5E-922AF027C68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7B-4CF0-8C5E-922AF027C68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27B-4CF0-8C5E-922AF027C68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27B-4CF0-8C5E-922AF027C68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27B-4CF0-8C5E-922AF027C68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27B-4CF0-8C5E-922AF027C68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27B-4CF0-8C5E-922AF027C68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27B-4CF0-8C5E-922AF027C68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27B-4CF0-8C5E-922AF027C68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27B-4CF0-8C5E-922AF027C689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27B-4CF0-8C5E-922AF027C689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27B-4CF0-8C5E-922AF027C689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27B-4CF0-8C5E-922AF027C689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27B-4CF0-8C5E-922AF027C689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27B-4CF0-8C5E-922AF027C689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27B-4CF0-8C5E-922AF027C68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27B-4CF0-8C5E-922AF027C689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27B-4CF0-8C5E-922AF027C689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27B-4CF0-8C5E-922AF027C689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27B-4CF0-8C5E-922AF027C689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27B-4CF0-8C5E-922AF027C689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27B-4CF0-8C5E-922AF027C689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27B-4CF0-8C5E-922AF027C689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27B-4CF0-8C5E-922AF027C689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27B-4CF0-8C5E-922AF027C689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27B-4CF0-8C5E-922AF027C689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27B-4CF0-8C5E-922AF027C689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27B-4CF0-8C5E-922AF027C689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27B-4CF0-8C5E-922AF027C6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'LOS1'!$D$2:$D$52</c:f>
              <c:numCache>
                <c:formatCode>General</c:formatCode>
                <c:ptCount val="51"/>
                <c:pt idx="0">
                  <c:v>225</c:v>
                </c:pt>
                <c:pt idx="1">
                  <c:v>168</c:v>
                </c:pt>
                <c:pt idx="2">
                  <c:v>195</c:v>
                </c:pt>
                <c:pt idx="3">
                  <c:v>235</c:v>
                </c:pt>
                <c:pt idx="4">
                  <c:v>161</c:v>
                </c:pt>
                <c:pt idx="5">
                  <c:v>164</c:v>
                </c:pt>
                <c:pt idx="6">
                  <c:v>197</c:v>
                </c:pt>
                <c:pt idx="7">
                  <c:v>211</c:v>
                </c:pt>
                <c:pt idx="8">
                  <c:v>268</c:v>
                </c:pt>
                <c:pt idx="9">
                  <c:v>217</c:v>
                </c:pt>
                <c:pt idx="10">
                  <c:v>223</c:v>
                </c:pt>
                <c:pt idx="11">
                  <c:v>159</c:v>
                </c:pt>
                <c:pt idx="12">
                  <c:v>126</c:v>
                </c:pt>
                <c:pt idx="13">
                  <c:v>220</c:v>
                </c:pt>
                <c:pt idx="14">
                  <c:v>216</c:v>
                </c:pt>
                <c:pt idx="15">
                  <c:v>162</c:v>
                </c:pt>
                <c:pt idx="16">
                  <c:v>211</c:v>
                </c:pt>
                <c:pt idx="17">
                  <c:v>223</c:v>
                </c:pt>
                <c:pt idx="18">
                  <c:v>205</c:v>
                </c:pt>
                <c:pt idx="19">
                  <c:v>120</c:v>
                </c:pt>
                <c:pt idx="20">
                  <c:v>201</c:v>
                </c:pt>
                <c:pt idx="21">
                  <c:v>228</c:v>
                </c:pt>
                <c:pt idx="22">
                  <c:v>206</c:v>
                </c:pt>
                <c:pt idx="23">
                  <c:v>145</c:v>
                </c:pt>
                <c:pt idx="24">
                  <c:v>216</c:v>
                </c:pt>
                <c:pt idx="25">
                  <c:v>232</c:v>
                </c:pt>
                <c:pt idx="26">
                  <c:v>137</c:v>
                </c:pt>
                <c:pt idx="27">
                  <c:v>168</c:v>
                </c:pt>
                <c:pt idx="28">
                  <c:v>216</c:v>
                </c:pt>
                <c:pt idx="29">
                  <c:v>153</c:v>
                </c:pt>
                <c:pt idx="30">
                  <c:v>230</c:v>
                </c:pt>
                <c:pt idx="31">
                  <c:v>166</c:v>
                </c:pt>
                <c:pt idx="32">
                  <c:v>211</c:v>
                </c:pt>
                <c:pt idx="33">
                  <c:v>193</c:v>
                </c:pt>
                <c:pt idx="34">
                  <c:v>70</c:v>
                </c:pt>
                <c:pt idx="35">
                  <c:v>231</c:v>
                </c:pt>
                <c:pt idx="36">
                  <c:v>238</c:v>
                </c:pt>
                <c:pt idx="37">
                  <c:v>146</c:v>
                </c:pt>
                <c:pt idx="38">
                  <c:v>227</c:v>
                </c:pt>
                <c:pt idx="39">
                  <c:v>173</c:v>
                </c:pt>
                <c:pt idx="40">
                  <c:v>205</c:v>
                </c:pt>
                <c:pt idx="41">
                  <c:v>224</c:v>
                </c:pt>
                <c:pt idx="42">
                  <c:v>76</c:v>
                </c:pt>
                <c:pt idx="43">
                  <c:v>219</c:v>
                </c:pt>
                <c:pt idx="44">
                  <c:v>227</c:v>
                </c:pt>
                <c:pt idx="45">
                  <c:v>137</c:v>
                </c:pt>
                <c:pt idx="46">
                  <c:v>130</c:v>
                </c:pt>
                <c:pt idx="47">
                  <c:v>222</c:v>
                </c:pt>
                <c:pt idx="48">
                  <c:v>153</c:v>
                </c:pt>
                <c:pt idx="49">
                  <c:v>208</c:v>
                </c:pt>
                <c:pt idx="50">
                  <c:v>147</c:v>
                </c:pt>
              </c:numCache>
            </c:numRef>
          </c:xVal>
          <c:yVal>
            <c:numRef>
              <c:f>'LOS1'!$E$2:$E$52</c:f>
              <c:numCache>
                <c:formatCode>0.0</c:formatCode>
                <c:ptCount val="51"/>
                <c:pt idx="0">
                  <c:v>6.6037812778423763</c:v>
                </c:pt>
                <c:pt idx="1">
                  <c:v>6.7006802721088432</c:v>
                </c:pt>
                <c:pt idx="2">
                  <c:v>5.8389574033441782</c:v>
                </c:pt>
                <c:pt idx="3">
                  <c:v>5.7532427371278372</c:v>
                </c:pt>
                <c:pt idx="4">
                  <c:v>5.6851282646097934</c:v>
                </c:pt>
                <c:pt idx="5">
                  <c:v>5.5674924035638877</c:v>
                </c:pt>
                <c:pt idx="6">
                  <c:v>6.1300956565263336</c:v>
                </c:pt>
                <c:pt idx="7">
                  <c:v>7.6350638428014372</c:v>
                </c:pt>
                <c:pt idx="8">
                  <c:v>8.7541789577187803</c:v>
                </c:pt>
                <c:pt idx="9">
                  <c:v>5.91175023490523</c:v>
                </c:pt>
                <c:pt idx="10">
                  <c:v>6.7146483781135826</c:v>
                </c:pt>
                <c:pt idx="11">
                  <c:v>7.862824877522212</c:v>
                </c:pt>
                <c:pt idx="12">
                  <c:v>5.8106447808138393</c:v>
                </c:pt>
                <c:pt idx="13">
                  <c:v>6.0444579749330503</c:v>
                </c:pt>
                <c:pt idx="14">
                  <c:v>5.9544597488095619</c:v>
                </c:pt>
                <c:pt idx="15">
                  <c:v>5.7471610384191232</c:v>
                </c:pt>
                <c:pt idx="16">
                  <c:v>5.2660328385196422</c:v>
                </c:pt>
                <c:pt idx="17">
                  <c:v>6.6651133378733336</c:v>
                </c:pt>
                <c:pt idx="18">
                  <c:v>5.9189296057623464</c:v>
                </c:pt>
                <c:pt idx="19">
                  <c:v>7.4372949002217297</c:v>
                </c:pt>
                <c:pt idx="20">
                  <c:v>7.1131243294790796</c:v>
                </c:pt>
                <c:pt idx="21">
                  <c:v>6.5428799920027991</c:v>
                </c:pt>
                <c:pt idx="22">
                  <c:v>6.136540012907389</c:v>
                </c:pt>
                <c:pt idx="23">
                  <c:v>5.8139620302564223</c:v>
                </c:pt>
                <c:pt idx="24">
                  <c:v>6.5483259902517936</c:v>
                </c:pt>
                <c:pt idx="25">
                  <c:v>5.7652282198778773</c:v>
                </c:pt>
                <c:pt idx="26">
                  <c:v>6.2218265364732916</c:v>
                </c:pt>
                <c:pt idx="27">
                  <c:v>6.4015048653541529</c:v>
                </c:pt>
                <c:pt idx="28">
                  <c:v>6.1920685102834909</c:v>
                </c:pt>
                <c:pt idx="29">
                  <c:v>6.8183873398643557</c:v>
                </c:pt>
                <c:pt idx="30">
                  <c:v>6.1713534347215075</c:v>
                </c:pt>
                <c:pt idx="31">
                  <c:v>5.9471823725218727</c:v>
                </c:pt>
                <c:pt idx="32">
                  <c:v>6.7752512271051275</c:v>
                </c:pt>
                <c:pt idx="33">
                  <c:v>6.3972351431550241</c:v>
                </c:pt>
                <c:pt idx="34">
                  <c:v>6.0652091971353181</c:v>
                </c:pt>
                <c:pt idx="35">
                  <c:v>5.6776430464782877</c:v>
                </c:pt>
                <c:pt idx="36">
                  <c:v>5.647034063449996</c:v>
                </c:pt>
                <c:pt idx="37">
                  <c:v>6.4642382849554165</c:v>
                </c:pt>
                <c:pt idx="38">
                  <c:v>5.7169079161672478</c:v>
                </c:pt>
                <c:pt idx="39">
                  <c:v>6.924105229562759</c:v>
                </c:pt>
                <c:pt idx="40">
                  <c:v>5.8968361538163654</c:v>
                </c:pt>
                <c:pt idx="41">
                  <c:v>6.4048310366678329</c:v>
                </c:pt>
                <c:pt idx="42">
                  <c:v>6.1101793617516886</c:v>
                </c:pt>
                <c:pt idx="43">
                  <c:v>6.4655352151019567</c:v>
                </c:pt>
                <c:pt idx="44">
                  <c:v>5.8466877788400256</c:v>
                </c:pt>
                <c:pt idx="45">
                  <c:v>4.5126459143968871</c:v>
                </c:pt>
                <c:pt idx="46">
                  <c:v>7.1172685019663922</c:v>
                </c:pt>
                <c:pt idx="47">
                  <c:v>6.3591653870167564</c:v>
                </c:pt>
                <c:pt idx="48">
                  <c:v>7.4134378143696722</c:v>
                </c:pt>
                <c:pt idx="49">
                  <c:v>6.0535309099328547</c:v>
                </c:pt>
                <c:pt idx="50">
                  <c:v>6.1824256006671181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27B-4CF0-8C5E-922AF027C689}"/>
            </c:ext>
          </c:extLst>
        </c:ser>
        <c:ser>
          <c:idx val="1"/>
          <c:order val="1"/>
          <c:tx>
            <c:v>Average_Line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27B-4CF0-8C5E-922AF027C689}"/>
                </c:ext>
              </c:extLst>
            </c:dLbl>
            <c:dLbl>
              <c:idx val="1"/>
              <c:layout>
                <c:manualLayout>
                  <c:x val="-0.17351166968722315"/>
                  <c:y val="-4.8641201287079765E-2"/>
                </c:manualLayout>
              </c:layout>
              <c:tx>
                <c:rich>
                  <a:bodyPr/>
                  <a:lstStyle/>
                  <a:p>
                    <a:r>
                      <a:rPr lang="en-US" sz="1100" b="0" i="0" u="none" strike="noStrike" baseline="0"/>
                      <a:t>Avg. Discharges: 188</a:t>
                    </a:r>
                    <a:endParaRPr lang="en-US" sz="110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49434440347204"/>
                      <c:h val="4.012923779075677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2E-E27B-4CF0-8C5E-922AF027C6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('LOS1'!$I$25,'LOS1'!$I$26)</c:f>
              <c:numCache>
                <c:formatCode>General</c:formatCode>
                <c:ptCount val="2"/>
                <c:pt idx="0">
                  <c:v>188.5</c:v>
                </c:pt>
                <c:pt idx="1">
                  <c:v>188.5</c:v>
                </c:pt>
              </c:numCache>
            </c:numRef>
          </c:xVal>
          <c:yVal>
            <c:numRef>
              <c:f>('LOS1'!$J$25,'LOS1'!$J$26)</c:f>
              <c:numCache>
                <c:formatCode>General</c:formatCode>
                <c:ptCount val="2"/>
                <c:pt idx="0" formatCode="0">
                  <c:v>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E27B-4CF0-8C5E-922AF027C689}"/>
            </c:ext>
          </c:extLst>
        </c:ser>
        <c:ser>
          <c:idx val="2"/>
          <c:order val="2"/>
          <c:tx>
            <c:v>Average LOS</c:v>
          </c:tx>
          <c:spPr>
            <a:ln w="2540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27B-4CF0-8C5E-922AF027C689}"/>
                </c:ext>
              </c:extLst>
            </c:dLbl>
            <c:dLbl>
              <c:idx val="1"/>
              <c:layout>
                <c:manualLayout>
                  <c:x val="-2.1983355331612873E-3"/>
                  <c:y val="0.126713505378565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/>
                      <a:t>National</a:t>
                    </a:r>
                    <a:r>
                      <a:rPr lang="en-US" sz="1100" baseline="0"/>
                      <a:t> LOS: 6,3</a:t>
                    </a:r>
                  </a:p>
                  <a:p>
                    <a:pPr>
                      <a:defRPr/>
                    </a:pPr>
                    <a:endParaRPr lang="en-US" sz="11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82694985525968"/>
                      <c:h val="7.45625233000824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31-E27B-4CF0-8C5E-922AF027C6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'LOS1'!$L$25:$L$26</c:f>
              <c:numCache>
                <c:formatCode>General</c:formatCode>
                <c:ptCount val="2"/>
                <c:pt idx="0">
                  <c:v>60</c:v>
                </c:pt>
                <c:pt idx="1">
                  <c:v>290</c:v>
                </c:pt>
              </c:numCache>
            </c:numRef>
          </c:xVal>
          <c:yVal>
            <c:numRef>
              <c:f>'LOS1'!$M$25:$M$26</c:f>
              <c:numCache>
                <c:formatCode>0.0</c:formatCode>
                <c:ptCount val="2"/>
                <c:pt idx="0">
                  <c:v>6.3079311754523122</c:v>
                </c:pt>
                <c:pt idx="1">
                  <c:v>6.3079311754523122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27B-4CF0-8C5E-922AF027C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46624"/>
        <c:axId val="1262445904"/>
      </c:scatterChart>
      <c:valAx>
        <c:axId val="1262446624"/>
        <c:scaling>
          <c:orientation val="minMax"/>
          <c:max val="300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Discharges per 1,000 Enrollees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2445904"/>
        <c:crosses val="autoZero"/>
        <c:crossBetween val="midCat"/>
      </c:valAx>
      <c:valAx>
        <c:axId val="1262445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Average Length of Stay (Days</a:t>
                </a:r>
                <a:r>
                  <a:rPr lang="en-US" sz="1000" b="0" i="0" u="none" strike="noStrike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244662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(2022).xlsx]Utilization Rate by State abs!PivotTable1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 States with Highest Utilization Rate</a:t>
            </a:r>
            <a:endParaRPr lang="en-US" sz="1300"/>
          </a:p>
        </c:rich>
      </c:tx>
      <c:layout>
        <c:manualLayout>
          <c:xMode val="edge"/>
          <c:yMode val="edge"/>
          <c:x val="0.24016359918200408"/>
          <c:y val="5.6338028169014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B7235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B7235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'Utilization Rate by State abs'!$B$3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7F-4AB4-8DD0-4A0C8118FB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'Utilization Rate by State abs'!$A$4:$A$13</c:f>
              <c:strCache>
                <c:ptCount val="10"/>
                <c:pt idx="0">
                  <c:v>Alabama</c:v>
                </c:pt>
                <c:pt idx="1">
                  <c:v>Texas</c:v>
                </c:pt>
                <c:pt idx="2">
                  <c:v>Pennsylvania</c:v>
                </c:pt>
                <c:pt idx="3">
                  <c:v>Massachusetts</c:v>
                </c:pt>
                <c:pt idx="4">
                  <c:v>New Jersey</c:v>
                </c:pt>
                <c:pt idx="5">
                  <c:v>Ohio</c:v>
                </c:pt>
                <c:pt idx="6">
                  <c:v>Missouri</c:v>
                </c:pt>
                <c:pt idx="7">
                  <c:v>Arkansas</c:v>
                </c:pt>
                <c:pt idx="8">
                  <c:v>Oklahoma</c:v>
                </c:pt>
                <c:pt idx="9">
                  <c:v>District of Columbia</c:v>
                </c:pt>
              </c:strCache>
            </c:strRef>
          </c:cat>
          <c:val>
            <c:numRef>
              <c:f>'Utilization Rate by State abs'!$B$4:$B$13</c:f>
              <c:numCache>
                <c:formatCode>General</c:formatCode>
                <c:ptCount val="10"/>
                <c:pt idx="0">
                  <c:v>225</c:v>
                </c:pt>
                <c:pt idx="1">
                  <c:v>227</c:v>
                </c:pt>
                <c:pt idx="2">
                  <c:v>227</c:v>
                </c:pt>
                <c:pt idx="3">
                  <c:v>228</c:v>
                </c:pt>
                <c:pt idx="4">
                  <c:v>230</c:v>
                </c:pt>
                <c:pt idx="5">
                  <c:v>231</c:v>
                </c:pt>
                <c:pt idx="6">
                  <c:v>232</c:v>
                </c:pt>
                <c:pt idx="7">
                  <c:v>235</c:v>
                </c:pt>
                <c:pt idx="8">
                  <c:v>238</c:v>
                </c:pt>
                <c:pt idx="9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F-4AB4-8DD0-4A0C8118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225952"/>
        <c:axId val="1144226312"/>
      </c:barChart>
      <c:catAx>
        <c:axId val="1144225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4226312"/>
        <c:crosses val="autoZero"/>
        <c:auto val="1"/>
        <c:lblAlgn val="ctr"/>
        <c:lblOffset val="100"/>
        <c:noMultiLvlLbl val="0"/>
      </c:catAx>
      <c:valAx>
        <c:axId val="1144226312"/>
        <c:scaling>
          <c:orientation val="minMax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422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[Medicare Advantage Inpatient Utilization Analysis (2022).xlsx]Utilization Rate by State abs!PivotTable2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/>
              <a:t>10</a:t>
            </a:r>
            <a:r>
              <a:rPr lang="en-US" sz="1300" b="1" baseline="0"/>
              <a:t> States with Lowest Utilization Rate</a:t>
            </a:r>
            <a:endParaRPr lang="en-US" sz="1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114484871433806"/>
          <c:y val="0.16408262327290649"/>
          <c:w val="0.72052680208560294"/>
          <c:h val="0.701446645220713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'Utilization Rate by State abs'!$H$3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44-4C20-A56A-975734529103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44-4C20-A56A-975734529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'Utilization Rate by State abs'!$G$4:$G$13</c:f>
              <c:strCache>
                <c:ptCount val="10"/>
                <c:pt idx="0">
                  <c:v>Wisconsin</c:v>
                </c:pt>
                <c:pt idx="1">
                  <c:v>Oregon</c:v>
                </c:pt>
                <c:pt idx="2">
                  <c:v>Minnesota</c:v>
                </c:pt>
                <c:pt idx="3">
                  <c:v>Utah</c:v>
                </c:pt>
                <c:pt idx="4">
                  <c:v>Montana</c:v>
                </c:pt>
                <c:pt idx="5">
                  <c:v>Vermont</c:v>
                </c:pt>
                <c:pt idx="6">
                  <c:v>Idaho</c:v>
                </c:pt>
                <c:pt idx="7">
                  <c:v>Maine</c:v>
                </c:pt>
                <c:pt idx="8">
                  <c:v>South Dakota</c:v>
                </c:pt>
                <c:pt idx="9">
                  <c:v>North Dakota</c:v>
                </c:pt>
              </c:strCache>
            </c:strRef>
          </c:cat>
          <c:val>
            <c:numRef>
              <c:f>'Utilization Rate by State abs'!$H$4:$H$13</c:f>
              <c:numCache>
                <c:formatCode>General</c:formatCode>
                <c:ptCount val="10"/>
                <c:pt idx="0">
                  <c:v>147</c:v>
                </c:pt>
                <c:pt idx="1">
                  <c:v>146</c:v>
                </c:pt>
                <c:pt idx="2">
                  <c:v>145</c:v>
                </c:pt>
                <c:pt idx="3">
                  <c:v>137</c:v>
                </c:pt>
                <c:pt idx="4">
                  <c:v>137</c:v>
                </c:pt>
                <c:pt idx="5">
                  <c:v>130</c:v>
                </c:pt>
                <c:pt idx="6">
                  <c:v>126</c:v>
                </c:pt>
                <c:pt idx="7">
                  <c:v>120</c:v>
                </c:pt>
                <c:pt idx="8">
                  <c:v>76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44-4C20-A56A-975734529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148032"/>
        <c:axId val="1149146592"/>
      </c:barChart>
      <c:catAx>
        <c:axId val="114914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146592"/>
        <c:crosses val="autoZero"/>
        <c:auto val="1"/>
        <c:lblAlgn val="ctr"/>
        <c:lblOffset val="100"/>
        <c:noMultiLvlLbl val="0"/>
      </c:catAx>
      <c:valAx>
        <c:axId val="1149146592"/>
        <c:scaling>
          <c:orientation val="minMax"/>
          <c:max val="3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1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Mortality</a:t>
            </a:r>
            <a:r>
              <a:rPr lang="en-US" b="1" baseline="0"/>
              <a:t> Rate vs LOS</a:t>
            </a:r>
            <a:endParaRPr lang="en-US" b="1"/>
          </a:p>
        </c:rich>
      </c:tx>
      <c:layout>
        <c:manualLayout>
          <c:xMode val="edge"/>
          <c:yMode val="edge"/>
          <c:x val="0.34835236560294591"/>
          <c:y val="3.7098596371105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130567972951509E-2"/>
          <c:y val="0.12745704467353952"/>
          <c:w val="0.85645728289727474"/>
          <c:h val="0.693442378980977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'Mortality Rate vs LOS'!$C$1</c:f>
              <c:strCache>
                <c:ptCount val="1"/>
                <c:pt idx="0">
                  <c:v>LOS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0183802673080848E-3"/>
                  <c:y val="-3.86259707227318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'Mortality Rate vs LOS'!$B$2:$B$54</c:f>
              <c:numCache>
                <c:formatCode>0.00%</c:formatCode>
                <c:ptCount val="53"/>
                <c:pt idx="0">
                  <c:v>7.5976838553777418E-2</c:v>
                </c:pt>
                <c:pt idx="1">
                  <c:v>5.6652724095939008E-2</c:v>
                </c:pt>
                <c:pt idx="2">
                  <c:v>5.4681217690982192E-2</c:v>
                </c:pt>
                <c:pt idx="3">
                  <c:v>5.4080629301868237E-2</c:v>
                </c:pt>
                <c:pt idx="4">
                  <c:v>5.3339754534973659E-2</c:v>
                </c:pt>
                <c:pt idx="5">
                  <c:v>5.0112098314373493E-2</c:v>
                </c:pt>
                <c:pt idx="6">
                  <c:v>4.8192931083710151E-2</c:v>
                </c:pt>
                <c:pt idx="7">
                  <c:v>4.7804933242815116E-2</c:v>
                </c:pt>
                <c:pt idx="8">
                  <c:v>4.6818312212078772E-2</c:v>
                </c:pt>
                <c:pt idx="9">
                  <c:v>4.6544491484467126E-2</c:v>
                </c:pt>
                <c:pt idx="10">
                  <c:v>4.5482664152944295E-2</c:v>
                </c:pt>
                <c:pt idx="11">
                  <c:v>4.4529697883126669E-2</c:v>
                </c:pt>
                <c:pt idx="12">
                  <c:v>4.430586951438148E-2</c:v>
                </c:pt>
                <c:pt idx="13">
                  <c:v>4.4159515598684737E-2</c:v>
                </c:pt>
                <c:pt idx="14">
                  <c:v>4.4120670080107276E-2</c:v>
                </c:pt>
                <c:pt idx="15">
                  <c:v>4.3962922118565763E-2</c:v>
                </c:pt>
                <c:pt idx="16">
                  <c:v>4.3792219892848823E-2</c:v>
                </c:pt>
                <c:pt idx="17">
                  <c:v>4.372408594044478E-2</c:v>
                </c:pt>
                <c:pt idx="18">
                  <c:v>4.328595398453626E-2</c:v>
                </c:pt>
                <c:pt idx="19">
                  <c:v>4.3083900226757371E-2</c:v>
                </c:pt>
                <c:pt idx="20">
                  <c:v>4.2841816664679941E-2</c:v>
                </c:pt>
                <c:pt idx="21">
                  <c:v>4.2724347515194855E-2</c:v>
                </c:pt>
                <c:pt idx="22">
                  <c:v>4.2664303955803409E-2</c:v>
                </c:pt>
                <c:pt idx="23">
                  <c:v>4.2445763206537604E-2</c:v>
                </c:pt>
                <c:pt idx="24">
                  <c:v>4.233972249934552E-2</c:v>
                </c:pt>
                <c:pt idx="25">
                  <c:v>4.2264548911827682E-2</c:v>
                </c:pt>
                <c:pt idx="26">
                  <c:v>4.20897329197246E-2</c:v>
                </c:pt>
                <c:pt idx="27">
                  <c:v>4.182363833727093E-2</c:v>
                </c:pt>
                <c:pt idx="28">
                  <c:v>4.17920815003473E-2</c:v>
                </c:pt>
                <c:pt idx="29">
                  <c:v>4.1625712600747003E-2</c:v>
                </c:pt>
                <c:pt idx="30">
                  <c:v>4.1366931500368728E-2</c:v>
                </c:pt>
                <c:pt idx="31">
                  <c:v>4.0798226164079826E-2</c:v>
                </c:pt>
                <c:pt idx="32">
                  <c:v>4.014382990550306E-2</c:v>
                </c:pt>
                <c:pt idx="33">
                  <c:v>4.0137947725072606E-2</c:v>
                </c:pt>
                <c:pt idx="34">
                  <c:v>3.9847616928980589E-2</c:v>
                </c:pt>
                <c:pt idx="35">
                  <c:v>3.9759036144578312E-2</c:v>
                </c:pt>
                <c:pt idx="36">
                  <c:v>3.9637502270954229E-2</c:v>
                </c:pt>
                <c:pt idx="37">
                  <c:v>3.9604470309522584E-2</c:v>
                </c:pt>
                <c:pt idx="38">
                  <c:v>3.9070265310803577E-2</c:v>
                </c:pt>
                <c:pt idx="39">
                  <c:v>3.8725290375178661E-2</c:v>
                </c:pt>
                <c:pt idx="40">
                  <c:v>3.7796377847122982E-2</c:v>
                </c:pt>
                <c:pt idx="41">
                  <c:v>3.7698731711007918E-2</c:v>
                </c:pt>
                <c:pt idx="42">
                  <c:v>3.737103212121004E-2</c:v>
                </c:pt>
                <c:pt idx="43">
                  <c:v>3.7170988055148665E-2</c:v>
                </c:pt>
                <c:pt idx="44">
                  <c:v>3.6339845274442735E-2</c:v>
                </c:pt>
                <c:pt idx="45">
                  <c:v>3.5994729653421625E-2</c:v>
                </c:pt>
                <c:pt idx="46">
                  <c:v>3.4325768378373735E-2</c:v>
                </c:pt>
                <c:pt idx="47">
                  <c:v>3.2148263224984069E-2</c:v>
                </c:pt>
                <c:pt idx="48">
                  <c:v>2.9089818563502776E-2</c:v>
                </c:pt>
                <c:pt idx="49">
                  <c:v>2.7129269347168181E-2</c:v>
                </c:pt>
                <c:pt idx="50">
                  <c:v>2.631826683457876E-2</c:v>
                </c:pt>
                <c:pt idx="51">
                  <c:v>1.6032219339348643E-2</c:v>
                </c:pt>
              </c:numCache>
            </c:numRef>
          </c:xVal>
          <c:yVal>
            <c:numRef>
              <c:f>'Mortality Rate vs LOS'!$C$2:$C$54</c:f>
              <c:numCache>
                <c:formatCode>0.0</c:formatCode>
                <c:ptCount val="53"/>
                <c:pt idx="0">
                  <c:v>6.924105229562759</c:v>
                </c:pt>
                <c:pt idx="1">
                  <c:v>7.4134378143696722</c:v>
                </c:pt>
                <c:pt idx="2">
                  <c:v>6.2218265364732916</c:v>
                </c:pt>
                <c:pt idx="3">
                  <c:v>8.7541789577187803</c:v>
                </c:pt>
                <c:pt idx="4">
                  <c:v>6.4642382849554165</c:v>
                </c:pt>
                <c:pt idx="5">
                  <c:v>7.862824877522212</c:v>
                </c:pt>
                <c:pt idx="6">
                  <c:v>6.4655352151019567</c:v>
                </c:pt>
                <c:pt idx="7">
                  <c:v>6.4015048653541529</c:v>
                </c:pt>
                <c:pt idx="8">
                  <c:v>6.3591653870167564</c:v>
                </c:pt>
                <c:pt idx="9">
                  <c:v>5.6851282646097934</c:v>
                </c:pt>
                <c:pt idx="10">
                  <c:v>5.9471823725218727</c:v>
                </c:pt>
                <c:pt idx="11">
                  <c:v>6.8183873398643557</c:v>
                </c:pt>
                <c:pt idx="12">
                  <c:v>5.647034063449996</c:v>
                </c:pt>
                <c:pt idx="13">
                  <c:v>6.3972351431550241</c:v>
                </c:pt>
                <c:pt idx="14">
                  <c:v>5.7169079161672478</c:v>
                </c:pt>
                <c:pt idx="15">
                  <c:v>5.7471610384191232</c:v>
                </c:pt>
                <c:pt idx="16">
                  <c:v>6.1101793617516886</c:v>
                </c:pt>
                <c:pt idx="17">
                  <c:v>6.0652091971353181</c:v>
                </c:pt>
                <c:pt idx="18">
                  <c:v>6.7752512271051275</c:v>
                </c:pt>
                <c:pt idx="19">
                  <c:v>6.7006802721088432</c:v>
                </c:pt>
                <c:pt idx="20">
                  <c:v>7.1131243294790796</c:v>
                </c:pt>
                <c:pt idx="21">
                  <c:v>7.1172685019663922</c:v>
                </c:pt>
                <c:pt idx="22">
                  <c:v>6.1824256006671181</c:v>
                </c:pt>
                <c:pt idx="23">
                  <c:v>6.6651133378733336</c:v>
                </c:pt>
                <c:pt idx="24">
                  <c:v>5.7652282198778773</c:v>
                </c:pt>
                <c:pt idx="25">
                  <c:v>5.9544597488095619</c:v>
                </c:pt>
                <c:pt idx="26">
                  <c:v>5.8389574033441782</c:v>
                </c:pt>
                <c:pt idx="27">
                  <c:v>6.5483259902517936</c:v>
                </c:pt>
                <c:pt idx="28">
                  <c:v>6.0535309099328547</c:v>
                </c:pt>
                <c:pt idx="29">
                  <c:v>5.8106447808138393</c:v>
                </c:pt>
                <c:pt idx="30">
                  <c:v>6.1713534347215075</c:v>
                </c:pt>
                <c:pt idx="31">
                  <c:v>7.4372949002217297</c:v>
                </c:pt>
                <c:pt idx="32">
                  <c:v>6.1920685102834909</c:v>
                </c:pt>
                <c:pt idx="33">
                  <c:v>6.136540012907389</c:v>
                </c:pt>
                <c:pt idx="34">
                  <c:v>6.1300956565263336</c:v>
                </c:pt>
                <c:pt idx="35">
                  <c:v>5.5614457831325304</c:v>
                </c:pt>
                <c:pt idx="36">
                  <c:v>5.9189296057623464</c:v>
                </c:pt>
                <c:pt idx="37">
                  <c:v>5.5674924035638877</c:v>
                </c:pt>
                <c:pt idx="38">
                  <c:v>7.6350638428014372</c:v>
                </c:pt>
                <c:pt idx="39">
                  <c:v>6.0444579749330503</c:v>
                </c:pt>
                <c:pt idx="40">
                  <c:v>5.2660328385196422</c:v>
                </c:pt>
                <c:pt idx="41">
                  <c:v>6.4048310366678329</c:v>
                </c:pt>
                <c:pt idx="42">
                  <c:v>5.6776430464782877</c:v>
                </c:pt>
                <c:pt idx="43">
                  <c:v>6.6037812778423799</c:v>
                </c:pt>
                <c:pt idx="44">
                  <c:v>5.8139620302564223</c:v>
                </c:pt>
                <c:pt idx="45">
                  <c:v>6.7146483781135826</c:v>
                </c:pt>
                <c:pt idx="46">
                  <c:v>5.7532427371278372</c:v>
                </c:pt>
                <c:pt idx="47">
                  <c:v>5.8466877788400256</c:v>
                </c:pt>
                <c:pt idx="48">
                  <c:v>6.5428799920027991</c:v>
                </c:pt>
                <c:pt idx="49">
                  <c:v>4.5126459143968871</c:v>
                </c:pt>
                <c:pt idx="50">
                  <c:v>5.91175023490523</c:v>
                </c:pt>
                <c:pt idx="51">
                  <c:v>5.8968361538163654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13-42AB-AD58-6C064A6C9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629536"/>
        <c:axId val="1281629176"/>
      </c:scatterChart>
      <c:valAx>
        <c:axId val="128162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Mortality</a:t>
                </a:r>
                <a:r>
                  <a:rPr lang="en-US" sz="1100" baseline="0"/>
                  <a:t> Rate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0.4311948989085298"/>
              <c:y val="0.92096219931271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1629176"/>
        <c:crosses val="autoZero"/>
        <c:crossBetween val="midCat"/>
      </c:valAx>
      <c:valAx>
        <c:axId val="1281629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Average</a:t>
                </a:r>
                <a:r>
                  <a:rPr lang="en-US" sz="1100" baseline="0"/>
                  <a:t> Length of Stay (days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162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200" b="1"/>
              <a:t>Medicare Efficiency Index by State — Lower is Less Efficient</a:t>
            </a:r>
            <a:endPara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plotSurface>
          <cx:spPr>
            <a:noFill/>
          </cx:spPr>
        </cx:plotSurface>
        <cx:series layoutId="regionMap" uniqueId="{FAEDD68A-6D02-44A2-BABC-B333D179389F}">
          <cx:tx>
            <cx:txData>
              <cx:f>_xlchart.v5.2</cx:f>
              <cx:v>Efficiency Index</cx:v>
            </cx:txData>
          </cx:tx>
          <cx:spPr>
            <a:noFill/>
          </cx:spPr>
          <cx:dataId val="0"/>
          <cx:layoutPr>
            <cx:regionLabelLayout val="none"/>
            <cx:geography cultureLanguage="en-US" cultureRegion="RU" attribution="Powered by Bing">
              <cx:geoCache provider="{E9337A44-BEBE-4D9F-B70C-5C5E7DAFC167}">
                <cx:binary>7H1pc+O2Eu1fmZrPjw5BrLx1c6tCUpsXeZ31C0tje0hwAxeQIPnrX8uWZ2xGyfhWfF+Vqp4ylWQk
QWrisNF9Tjegf9/2/7rN7jf1uz7PiuZft/3v72Oty3/99ltzG9/nm+Yol7e1atR3fXSr8t/U9+/y
9v63u3pjZBH95tiI/HYbb2p937//z7/h06J7dapuN1qq4rK9r4er+6bNdPM3r+196d3mLpdFIBtd
y1uNfn+/3JiNlO/f3Rda6uFmKO9/f//iPe/f/Tb9pD9967sMDNPtHYxF7hFDtuA2Zu/fZaqIds9b
iNIj6nDi2Daxtw/09KXrTQ4Df23Igxmbu7v6vmngOh7++3PcC6Ph6dX7d7eqLfR2qiKYtd/ffyik
vr97d603+r55/042yn98g6+2ln+4frjU315O9n/+PXkCLn7yzDM8pjP1q5f+BMd5LNXTvPxzMIh9
RGDekctt9+EhXmIinCN4BXNM+AMkNn767kdMfmXNfkQeR03wOF8eJB7XqtXxO39Tq0wWm6fZ+efI
YHzk2tglDkI/Zv65twj7SLjEFgihR+TAmx5d9BGZ19u1H6Pp+Ala1/5BovVBb+KneXoDjNwj7GDO
mUMfMXJeeg9gc8S4cByHTdD5lR37MXkcNUHiw81BInGeZptY5W/pMRA+BCaE7cDYxo/nHuPyI2oL
bNucP3qM+3Qn7NayV1i0H5ef1zLB5vzkILFZ33+rN036htgQtA3taOsrez3FdY8Esrnj4B14E395
jUX7sfk5coLNenaQ2JxsimYDyclbpWNYHBFBuOPyXYSfeo04wsJGwsb00Wv403c/es2v7dmPy9O4
CSonkGPdHl5W9mlQkDVHT1Pzz0MLcY5guhk4xGMubE9Diw2rGUWEgL884vL03Y+wvMKg/bj8GDgB
5tOXgwRmrer/TXoGwQZDYkzxbvrBLZ4HG+4eIUGxYGy34E0XtFfbtR+m6XVN0FofZnrmq0zVm7s3
JDiwvLmuoNTe0srtY7K8IRuAJFxghl860GtM2Q/Nz5ETUPzzg3ShRb0p7t7dKL3Jnqbor9a3/yHv
XdyrOpJvmJJg54gR4Qji7gjW5M4Q+IgQgjlwrMc7Z3KDvMKg/ffHj4GT22Pxx0HeHv4mk99VXbwp
NvzIoYQxF7mPcz/BBjgviEgcMkqyY79Pd+Zj9HudTfvheT52gpB/mAhd3BdFM2Td5k0xAulIuADR
zjv+tLJyfiSwENu88jFBAWnpuUDxWqv2o/Ry9ASni8PE6Wwji/unSfqrJfal+Ph3QiuhRxh8iNBn
mfvzFIW5Rw5iiNicPAJEnr770Yl+ac5+ZHbDJpCcHSbb8lVR3N9qedvqp8l5A2CADHOKKH4iu5PV
jYPoiiEyIYc+feluWXudNftxeXEpE3T8w9SQVspsnmboDWBxjsAVGOVkR7kg4D/3FxeDfmTbULzY
vT5J6X9lzX5YHkdN8Fgd6AImm0a19RsWiyB9x4xTYZNdkjahwa5zRDjHHDm7PGDiMWevsGg/Lj9H
TrA5O8ws/pEwBpsU8vg39BkOSTLDUIbAjzEENNXnPgOoHRHmYucJn4nm+lqr9mP0cvQEp3VwkOn0
H3X61gofgUQN0jSMdgrepMa39SHsQhUQ3OzhMfGh11i0H5+fIyfY/HF1kNis7827L6pO39B/QObD
rkMw3skTk5jD6RGDVyikaY/+NYk5r7FoPzY/R06wWR+m0Le6g3LSGwJDQPZ2oSLxRDAnToMQOWIU
BEBhT9zll4bsx2M3bALG6kAXsexty0eMHIHUDT0Izo5LkkmYoc6Rw11BGJoEmD9+acl+OJ7GTfD4
4zALemcSaEzztpGfAbt0EUSOXdSYkBgXIHOh2gqh/8krd7TyNbbsB+XZZUxwOVsfZED5o5ajetOu
EXLkbLMt8RQvJmWJh44EkARcRh/rEoDac1HmFQbth+bHwAkwf3w9SGBuQDKDJrL7+6fp+ef0EtMj
QRzXtcXOYSZURmwdCjtbWfOH5vkcmleZtB+cZ0Mn8Nwcpt/c3PdvWgNHQFKwINBM9WPqn7MY6E7A
kKGBlAn4bR8TKfOX5vwVLA9XMYXk80F6zFUMPZLvVk0GxaK3cxroG2GOcFwKDObhMUnDOEhpCBxq
u6Q9PCZFmtdatR+gl6MnOF2tDhKnOVRY5d0bSgCOOKIutCJA6rV7vMzNoIWUCGggdbatV9vHBKJX
GLQfnR8DJ8DMTw8SmC0hW27ysoll/YZhh+AjJoA/uk9i85RhbsVo6GB07V2pbZKuvdqs/SBNhk+g
Wi8PEqpT1cpGbt40cbOPXOiAs9kPN3rpRS4CEQdBK6n4yYCeZwevMmk/RM+GTuA5/eMg4dnec2f3
vbx9Qz0AkyNoxQahmez6eSZuhGx2BLsaMKR3k5T6ddbsh+b52Ak267ODxGZV3L2x47hH0CXgEvGk
Xk6AgbQa2BB0/D4pbFO55tcG7cfmx5VMgFkdZkr96b7R7z5K6LF50y4BKOAw4lAOxczH7GBCSGEb
AwO3Ar/Zpd6T7ODVZu0HaTJ8AtWnj4fpQxlsNVGyecM02z5CoHRCF9xOZgYV7TkBEtDNSATDVOzS
7InKtnqFRfsB+jlygs3qMLO4x20zb15mg+iDoQYAmdpeL9qW2Rxsgx7HQBl9nhe81p796LwcPUHo
+jC16TN5G8toUzzN0z9XdggU2DjhLixyj+hMSKqg0M9huwDd7vVJEec1Fu3H5+fICTZnh0lOt0X3
7Z+ylG8HDzR6gqQm+I+168+LG6ihDnQI74S3P8HzKqP+CqFng6cgXR9k+Nkmpcf3dXM/vB1G0EwI
HQS2S/EuDZiIoxyqbQAg7HreaQyTZe51Nu2H6PnYCULr44NE6JNsblXRyLdd4xi0eFDMdvzzz07E
QSGlUBLdq/K8yqT9+DwbOoHn0+og4Vnfd5u3VOAwyNOUwVagp70ok/iDEINaNWxG4bvSw58Y6q/s
2Q/M03VMUFkfZlZ9pgr9ppIO4Uc2tHjC3vr9/YTIhiZ2QpHD8GQ1e4Up+xH5MXACydnNQTrK/4CO
wq455AgXmgr3pmoc6CoUtCl0fjy+PqGjr7FoPzQ/R06w+XiYItt5fR+ptwwwcN4BbJcDksl2If4l
BUWODRseQSKF3VpPecdjQ8GvLdmPyNO4CR7nVwfpK2ebptncxm1zr/VbKgPOERSkMezh+LmL47ky
AAU4ZlNY58QElVfbsx+cyfAJRmeH6TPQVPRt86ZHHgC1gR0ecMDEVFZj0GwAqDj2TnaDdO25LPAK
S/bj8mPgBJE/DlOuCe4zON7oLettkIzZQDYZnGSwdx2Djk4CqxzBaFfSnujRr7FoPzQ/R06wCWYH
uaKdwA3b3qZvyDIxRH+HO4LRn30czxczEGocwWE/AdqRmAk2r7FoPzY/R06wOflykNhcwAljWr27
ekWN7X+4J/hsUw9v22+y3S4Otwj47svsgzM4BwtKGHAg09688DWW7L8zfo6c3Blnhymvfryvc2BS
T+HmTdRVm1MH/oFc/Lm3wjY5xhzmMqi6Pjwm3voKS/ZD8mPgBJGPh8miPm2gpaSI9Jtm67DvByEM
db2/KEg8ZOuwv/5p49ZEcnidTfvheT52gtCnw8wLn05bfKe+v4PTI9r825tupoc1zYYjLtBWZnjh
QCBQIOj8gdbHRweC158nif+tWfvh2v8pE+AC/yDC4O3fnkz0OHePK96Ld/6XJ2RCCgmMCvahAu16
eEwWPmhHhQOZ4MSSp2A0wW1yjOVfm7UfsMnwF1fy/+iMzL/OGX5seA82ejN7OJL02RGaf//qw+XC
MamTobt7fm+kepy71d3v7x3o3QYcfhx1uv2QF97y8xC4Pw263zT69/cWbImAtB9BMMPQjgc5BuBm
oO0CXkI2BtrAYKsrlKocqLXDS8X2iKDf30PSCq/AAZzbIhWEuGZ74CQ8DX19D3v2GFi2HSd+HAN7
obIBtJkfk7H7+7uizS+ULHTz+3vo13z/rnx83/bqKIiRmLuQFiOwAAE5AQ25vN1cQeCAt6P/U3ep
KHqGqmOirT7AJJvruNNznGtxSeMiVivqRlbh6SYe6SytWWt9iDVN7jLgQqrxeqsux8LPc1eGC6u1
cH3TDlV2IiJXJheaFfXXrpb8Cx1ZcRyjKDvRJnEC10rroLKlzI+dPkznLHW7QHdJcZqUlaW+FHGp
zrqhLcdFPqBFZMbOj8bYKed5Z2r3SycHLJbCjiOv1tXAPnemb8XFAC0pAVcyPk0cpckMs64ofDcq
hdx02oo/t3XW5EtVqzSal02bslNN7VhHcyvLbeK3dirj3suNFNissxgoHZ+LKhvLtYI90I0X903N
fV4MCQmXumG47me5qmwrPy4ooSLzKid0HRqkLc/DtXDGsDVemMF8Vp4c8tZUfggypAnaruPIR3GI
7FtjssaMszSW1NheWjR0rL0iUWHq5209WoPH2gIXXiEcK/d77ZIw82IxVgQFNCnJ6Kesi4rSr6PS
iXnqiaRVY3I3hsPQ0NTXeTTQoIuUJB5sfeuihZP2Yb3mubZWtinqCzsRoTe6FvZMR2ovaeJiFVtW
t4ho6VynFmulhxt79DpUmEuUGTpnbjlseJmkM5O1mT+kQxxI1VTzTuTpaW1JvFANyVdK6XaRFl2l
vapQzMu6rF2Jrvd5G6fzPC9UgFkcnQN5K/wuzvqAkSgNiKbYS1ikls3ohpd1bvJPYWHp0kvDTHij
1ZXnWcI+pCqPLnFUNRcm7vhlVqbdlzgXfRC5KDyuy7i/hPtBzYdOyY9Z04cXmaOGT2lcWo5v2rbz
Q+6EgUGSr103DT/GZY+Xfcysc6sPe+01teXOO17j05CF2cJKLDkGiNfp8LGsBPV4mLEPFUPFdTP0
KfLyMI56nyYV7n2Z17z31TCOq6KG00I9Vzf5rG0LvTL9WC9MlkYfcanwiTvyuPRQSc0NtHs0gyfK
OkyCNq2z78gQlnmYj7T3YAEoZqmjRm+AcyQuYKMRX9WG3iQVD5qkJdgjuOenaCijyEvkmBVeWLfd
eRtFzgnqe7UkxG09nQyAdZs19WWcseJj3fTFogt5+c048SdU1Z2vMyGOAel8NpSY+ENTirNxyPrL
kDXxcUH6+iZCePzc4jHP567pndtE1faJNRY88aoK82OT9e6cJOV951bhElG7msV9OgKCPLl2U9F+
tlmSfRrSUX7CRkvq00qknyqrcAOTgocxS9cLG44BmLnc6Lks2YlRCfNzIbNFUuPhvHALemz6xjVe
MaRJ6cFY6xwlMvVGOiaxBxui5EURJv1xb5V97asoxXAXR4kXU9FnntRWExCrGmbKtKVvQhNv50V7
nGexH1m2X9LGHCvbLQI8UOcj4RY+11b9QY71dVJa/K6nKnU82+3s1KMGDo/znXJMbnidkJPcHsJT
W5PSY0kTBlxGK5c0/GwwdQWu0TbXYyaygNa2umWtLbzSjOoCh+74rTKqrjxkZb3n5qY8iZKIfIhi
Qn1WZQ7xTF4NwTi60Rm0sLZfNLWCQmWRH6a57Y8pQqOf9PVxK8to0+BY3mfGaf2mq06dNjQzykwf
xF2LPztxKJfYAgXF640ZTp2+FAFJmWk8rR0LPI7E9hpVvTWvFbJiD7ph1WWaNE3llxq5s6zt0bqD
wnToZaG0Oy/OTdIvnVj3V8qQRvhpZPB1p0PxLTW5lXmtbB3si8y4szCMhytiheJUdQXdtLRWJy4L
a+YNGsE619q4v4hQEZZeK+LGcwyxz7iL0M2ArGbNI7cdvKjFJgDiktVeI+OVykUnvXJA4tRCjlpD
90kKtyhVvrb72wpi3hUybFhFVtj48KGRHyVhs6Jp6S50RfpTSzvSd0Upbomq6XdlkTtZVs4p4l2j
/aHKBy9zk1lVJxY4uZWemT4WZy5O09PYVizxkvE2tp3Kq+xMeaTvPyi7vu6r0fYFqmO/CPPQky2L
5xIhurDl6F5WqFYzizkx9kljmmVkxess7aI5aWUY1EWNPsmKkkUSUXsO/n6bjIW4qpzG+HGVqZuI
I1hB4ro8Nkmaz+o6pNkZVSjyaVN0UEO0o6Vl+kF6LGd6AURPXcKdmweF7ZoLOaj6ruoby/acEmWQ
9hDxMWIhOQYLh8AxZeErWtLSy1KaX+ShReeZM6gVKrTj243dB0Njy1OrjrjHikItdNu3AWl7/cWp
6zjIhCq8jqdfdYO+JVWZ+iOEx9PO5FHrscbEF0RUuVc0Kg36PHb8AffNd4S7dNaiob1ObEZnHTH1
TEUinROhRIBrK7yWHWrWzOZ6YVxcgRWyPu+iBKNZMrp15BEnF75Vx9bKtCe1JLFPC/Ottkn2tepN
O4+MSO9ywdFsGG3AVYivscju61Q2K2xBuLd5mgYVhf8LKXe9gVK27KS2V3aSkaCTyJk7WqLTsbSS
WzcRFNbO2FpoWlgeacLsMtEZPnaaRM5LnVSrFhKSWVtl7hIT1cx5D5mXZRRdpE7cnchcZeBHfVkF
GllWYA+j9vtSdTPMm+JWUyN9sP1GthHy2yFmS9Phypf0bCSmXBYkTz27dJ25QvS2ssvLthWQOsgi
8UkyLmCJtrwBW5+RJIMXx0zOZTpChpHZbJbaas3L+pLbzcJtqsVo8taz89QEdlxcCUunx4kao3lR
l8KrXNvxmCwcj8TxcTNm0Twk2RnOLevKbXqzyFjrLsmQRMGI80srLS6GWsZzndvSG5VV+CwbLt2u
RUEq02zR6FIFeiyLgERKeDRu0aLo8AiLMMfnlu4dD9Z2fqOJI5djEirfpei+Cpk1o0OSezJvc8+R
JYVAlsYQD3B7aeCAkluZD9WMW3D7qcZasr4rLpnVCQjGY+x1tEW+7Zbtqs9rd5kUkeVFchTHuR4u
M0m/kpB/eP4DAS/S8FtVwjVF8e4HGX789T83Koc/D78Y8PPJ7e85/PwbdPk9/hDE374LjhXc1kOb
6Zu2XOrHZwEn2HGrLX958Zc/kam/oEuPvyvxFy++jktxKPL+HZX6eYLmTyr1OGbHpJANZzWRrWwB
DUkIQ4P/MyYF7Bi6YRgcjisgwQZe9MSkYDMhaLjAu2CPDRx79oJNMTgmFPRdAUyKwi4P2/1v2BSx
X5KpbbPhgzAGZ79jSmBzwksyZedxaYfWaJ0IHVaJO4euNjG0n+vOJUV9nNg5l5WXukLEyYI3mkl6
it0sN7Mod6EJWHtUDaSMjokbihSfFRY0/7LBs3Qc2ZDaiKyWzaJNE92Hi1RIKuUpjUxXxd4Iz4bt
MqxG+K4PNu1MNUYQFfO2j09Rl9NhTD0juAW0wTK+1TFR5MdwCiZu/RSbTA5eFYad/cUp6lD7ium6
HK6TagQ1cCZIZPiliPs2ds+l1DPzyEDyBzpCH6hJ9shT+GABaYmoqkTp/X+v+evfVvnpAdABYYMs
8NcKxI+DRf80Zuc229+MINBCuT1IY6sxYLgvdwIElL6gsw8OyYW9gNAc88D/nwSIZ6KDDZ1mcEYa
9PlBGKTC+W+8BHauvXQTAi3RIN+7FM5UI7BJhMEXPdccXEcVIlQiW2IRfTEpEG7dpGrGuP25sNh1
3VnLwm6rzyJHnwdj0Lzlw7zpu2M9cDEbrcpZYZMPsCnZHb0CGbpyW4gf9WCXAbeqwtedW38fwo4F
KuYiUKKxT60oK7/CCmJfWc7gLEZLtwHOzOiDNiDnoVX0szbiV0knxYUZZZAKnZ8URhr4tBbYl6mq
WWM5TjAYUh/buvarLj8fGod6pSbaS7J+VTd8vKRNSAPFDffRYNobR7rgEEMfrmIJDI9Y6NKMmEK0
iz4xkkvIZ0224HkWn2lbopMEg022XcgLxJp6Ri1WXQjMZ0RmH9t+8FrcA/erGF3mvNuoFiVehzsT
1KTsv8nCjU5SQ0YPu6PyyqxiC2Av9qwmNV+YYmh8Q7J+lmF8p5MeQ2oJ3FemjHghbzdON8DaoLvj
xE3zeS4rE0COKRejLiJgYK5nYl5c5VUz19kwhxB+Hg5JNmutql+WGChYzxW6cksn+6w7Wn6iXTLP
XXM5Ip1fpVSIU5mJuvUSARmVH7bZWV3iyMwc0dl+VVTp53ZU8jLFMVnhxtI+xkVvvDLq6usKQ6oH
m1noCUmHkXtWTutlpFl1GsalXMPvtJjPoLw0dy5l7sc+xymEe9WagCkuTuPOzWcNcMpV1WbikhuT
ekWG08jLnI4uNRblFy4TzvyEd9nHIi3oCc1id2E7GVqTYrS5N6JMpfPILutTXjkiKCVGMHmu0yIv
bqvKa5yyOK6bMEwgvbGL48oaW2AAouCg/WSpsTwEx8mvba3UySAwmjuGJ1+501ks6MOomFFHhh8T
J1PXAof5rM+lukapQmvMenVCTOKeRn2ffC3L0JKei4BNbpM3NM8Tq5/pLVEaaCfXrU6jwmsj0s+A
+QB+Jq+XWBtgU1R2Q1BXgmwqG2cfBznY3+qW45WFcZv4Efw+1DKqFbwn7voLmEDL74AyjMD5bHTT
KVoc9xo+kjvt0AZ2EQ0XTgS3Jm3DIV3SpoOLr4ZouOKZDTbmyu6vUtaqk0ZRlvp4ABxKkcEHIt3H
1QxCWjEbunwIep2XX2Lwv4Vk0Kfn9SDoBWEvG+bxWGcfS1TI9VCR5k5ClFugFpf3tK/7i7BV5fmD
ZUmYlGIOCSV8fAbNM5cgGQI/ozVlPg5jcUl6uAeJpfPvWR4TkOyK9qZJiIGANzDmy+2Fa5wPV0NL
9Qfe5/DGLEycFe1gEQkEVsPMdptukRiSfH240xKq4dvGCPJYD4H+eCJ7ILVw/LQ6N6Ubx14cJa1P
xyr7SFzjfDKFJdVM54Rf1jQiK5WG/RXqjQrqGoiUE7WcLMsOQG1bUhxb+QioOaEp5yDF6DvNY7ku
gGKeC8SGkypEzlUI6t2Vqax8FsMdCcKHS8OvrgPigaF5LL0i7OGDOgHfyIcinWdRbF2rseoWI0vU
dRVV7kJl2gUlE9ACoU1dy2gA1t6kYaF9pDvhqwRmbuCEnqKqIaHHRBZ3AYvg41szRD7PerjrR/iX
FOKLqMngO5WSfpOM66aI1101XLRWc9NVkYKcW30tpPCinA3Ass8c3Z7bJrqItwpKpuNlntTfqXFP
XKwyT1uuXzj8qm/wHHfxQrPxY1Q3LKB2L04ZSIReGYI23VjAXAflC6dQVxriWOs5WLULJBG7ImXy
oUEJWrMO1vAUiShgvMQ+4gUBBj+sZQ+aU58ETaiOccHDCwSC+DnqnWQuVDQkkD2xeMFUmnjC7QiI
Ymnu8bKql12Xlb4WaRUHVo3uClD/usq5r4pOnVSxLE+SsW1mhZOjFXbobY30shD0EsJk5qegv5w7
VRR+sSLnc2OJ26FVuTcWTT4HoVR7+VB0MyvHQ5AAw0o9p3Y6v2RMXbfwmziglybjXd6B4jTGhUfH
uAGK2V8XSVseuzxd4EQD3aUjACwZmvdVG3qJGdLTlKEPbAACx91qlfZDvrIhqV0aWIQDW7TlrC/S
EDSt9riMxnJuKfWlslvi9YWyT4fU5sc13PiLZGB2QLvwi43yyrfyygOu/h0P5VUpBb+XDpdLYir7
K2eWClCa3mjUJJsB1McZ+HrjSVwJ326LxgsbV28zX1J53TjCeoC7bBklI0be9qBQf1SB44bXVd7c
xYMOZ3YhhnUf16ac4QjouA86BND3Yqzb2dg5xalCbA26enoJt1U9s1mILvA4kBmoYIUCYd1KlmmR
lgFprM5rkFPeN9RJZ2PurIZcpR4uy02bKSeoROMGCeo+2yGUIWwF0d51KroAVfwWDo39UsV4YQ9V
+MGgcvAwTjuPYpP6ilDrrCb0QzgUts/ADUGRLaLPIoE4XDQY+L0tTo1ooxkkCeKOcNpdcSrRh3So
tjkEd7HfEDYcGx0a6nVOKHo/6pIPCW9TkBYI8EKQUu91XWfHbp1zD8o6YaA6q5tDTDfztIGxUY5B
2dD2moeJuoTDiEAbjyvIrLBFPVPWYl12pfla2EP2FfgyXjNNlE8hw/JqBlp3Bl4EK7mWLffjgkIB
I82F67E+iU67XqfouHFC1HtxM7K141btXEQVSJBaRB81661zhmpQALHTVwCisv2wjqxZlybtKac1
gTumCCNPVVBp8MhoIAz2rVor2N19TGgezsKK5rOwqcKPbiX1lQG1OJmNTVVAVcotrLWOBF1BppAu
kK2qmeyz0IcChSKzuO6/F7njnKM80h9MLc2yjHn1iVVaeRmshUE0urFvuGkCi5Sgq/BxleaQheVd
Zx3bChawEjnVUoW08ctaJ34SDuFcSSTArKxaDCT7xhuoRzR1aM5TZtlndVjU8wyrelGBnOO3Jg19
yBnOepXMiWUtIidifibGL0ldqzJIii7ze1PV/oigeiDjJpvnxAYOVqdkMarxrJfxsKgVqKag2+I5
zZruYkwhx0s71UDk6sT5YKrsukoasxQ4tb5g7a5RUTb3Zks4KzbouVuyaN5mIKJauIKiWS1lAJQN
XBy6Sb1O2FcQQdV5wfvWK7eKamMbCqWJftGbPgoaPF4PDPN1Lx3kaSGSxVCgBTOy8TMEklynovuq
HxZYQ8jrKpXNOpm0s97u++OtQOe3IH+vTBWeyqi6IiGlAQ9FshpG1p+EiYhdHSRWnKIZw+OVm8Lq
ik54azHZzZIyzlC5SEFUhlIPS6oAXLgxUN9oDBSzPNeyIggJUWVD8cy1oyH3ucmGftVD/jueUkhV
Uj+J8pTOhibpgl6UTuLRNu2TzIO43aogZxIk/Cbq4uE2TgUUwTyGQ+Ust2WnPieXFsj787xwWz8i
rbkO+TjO0DA26yihap50lJxpOn6uRixnY8mupKssPxm1vordwgkylybnFS/pt6ZXg584xfgNNUif
mZxboAF393U0ODNDne5MdB0OoAOHHBOQ42H1i5sL12TOqeGsuoogVZk5YYuDweJfoRMn9Kq8TTZG
R4MvrRoqQEUYHueWZF6U2LafVg3U1TrZ+2EpYgiVZbboNZELW7g3LshqHk3JyYgh0c6y5I47pvNI
lddrhlI/U+Q2zpwmCLV0j4cIqrizBG2T/mio9TebGH3HU5qcGlM0kMc3ZIlB1ljViXttd61rexXk
MlaQdjpdjWMoGkgSyHBKZG1dllk+fspqOztr4vwWCGiUz5RTtaVn/i9757YcNZKF6ydShKSUlNJt
VblsY2xoY9zAjQIw6CylMnV++v2lTc/gcofZc733xUwHjdtK5WHlWv9hadjCq7VNu0PR5t/7puHW
d/rmQU6RjVnpMBzHtpiO2nP1Z9KX6IwvKi23A7TJnhzoVhRl+E6UW2Z2ng/2ioW6P8h146SN7Xwf
jSDBvRLt262eYrXv1wHAu+1hbrZY5N/a3rjZLi2L5dh4OVeBm2gJeF3EHXlAncQPceYSOKYs9G7B
YeO/By3VZ1DO9tuWd67aTakIHEK+hNMcYVjvWpL+s9Db4qu0G7oj4M9yFnvbZbGmLZwPRVZXbNVN
kY3zZ2/YvEPUSwGd1ObFXpfl3O18Hv6uz0hKyi7OKXyLZLhDCa6z9Gzo+nYT3Y7sedjW/VLAl1cH
YYZxp3sz/cxN01xIMRQXugcjXpz2R7Vsxc6sqaR8NG8rDXaqMh3fRo07vQfQVLeiTLZDBZC028rA
2YWAsmc6FcWhTOL0DQP7SOEHpZXArjplE1/WkZPp/4/6PME0f9Cd2G7zr4E+/zQq/Q3zefwv/kFK
ffqjWMlzQg8uF5nCfyAfbB307qbtBiCpj/IjAp35hfhg6hAB7boCSVsVHGwhaO0v2UnIX4UARTEN
8fC18Xmy/wUCEs9VJ3Y4dG4PA5qHkbnRPocH/Y4AxXJam2Z0gx+5u6mSYmxLhXuYZ9/ph8MwlP56
X9Z8QfhoVlE3e2PgXL4vaa3atx7XVO8flRPAoFV97HA82yR10xx8FCzpo3Ybp1z34CHRFu2KdMkm
algx9cG0F/W4buLAzWRICqRUUu8o6J0ZTcuY6rO6HLMB7nNNCri7bXTD+FyYDNpttxBSEk1isThx
emyn0pAvrCZHk4DI7T/o3b+IcrznMDIwG6IcPtER87+Q1pCns9OZyOsGs4U/lJmnpN41mcxJ/Qnt
orpOspCkZ794Rdv87CNdrHf2M38Mzc9HzfsAiGXLE2Px9FGRfxmS/2JI5JpIhFCwhFY26J0smCz9
pemMzh682g2raxUUWfVmC8YeKCDnkgZOAdzOAaMQVsTjrioXVcld6aqu+totZgUekWPolG9qdzJu
fral2TYeNqpGaqMBIma7z3WUAmNEW9VHNxsENj8GLm7CfudmZgR+en2eAVHVf6VPgKFMMii99f15
fHIv8Z9vwjSvlsKp6vaHOztr9CFsC6e7beq0296//qDneKd9EKovZBVwE3wah+c9f9BaN31CmpM+
2Eag4OmqTqsAmtXlW5yLkGXwbgYdEflujcIa1Et5mZxuqyJsy5+vj8Qiq89fmV4ukAZguEKCwdop
+U3t5YlsdZOljB4mE+voJlRrOQw73Ti06nmTmWgLoz9Mst0Yz59IMKGZNkI2OgESkp4/0S/aulJF
6D8sXmaK4Ie/1jLPL1NF+fUmI+nntes1Gsfk7PVX9V6+awJF5FrXB1MPPPX8yWXXedU8+c2DqSkj
5EWRpO3HGqK2h5+VWZqpd0uypW7ztit0G7ln4ZRX231ppFJi19REDrLjMm2Sv8oyotPhPp9av34L
I6/j9WKcgwBU7fVBv9iS8Fqx/UQMVBRuhEeC6bf1cTyozq6W4ns99haL6lflTBXpOUqu+Q8r8/JZ
bHxMfJHr02EBC+bz+REo4XRSVub7QpUfb7tS1vF0m/pOwZZ4/bVebAIMnMgeYcf4nof3yAI+23YU
t/7iu+33doVXEjsUVVX5c/JWJ/zUdU3UiUPaTN2Q/uG53st3THhBP+JLpsglMcQ/f8cUAeaidOh8
20J0INs+oboezV7GKtfu3hNktvUFx6SSX9e8zpbu0GutE7VvnMWf7opmm3ULZbZsw7es9aD0RBv5
61XYrKhaDn+Ypfh0yzJAGT4ufGK/A3S6ZeHylEbw133L4wLeBJx8Hbb3Jlo067OtVDYTtLwy0Y0j
0oL9Ydog4DJoo3UlWCZVkK3fWcum/BkZ+3kBrr+g2mb0TkFX/nwKwEGqiC7U2Fn0yWRJAt03NbJi
0cGbDKvTalD14dAKD8EOUp7UhmjH5DkP9NcF+BzEfVg+b6tNIXb9sqXMhV+WgiDvbkXUl0c/6EN2
bJ/PxfJeRUHZ/IhmcFlvJ4bUbO/Z0En4CVECJ05vXckYPVUmLRhqO3qfKtOpsj0bo6Xe7rdByOlu
0n003ZqSfzPv8rbkTFj1Qsea+Tn1c79r0DhV1FZCOQQVSo2Ol+ncssyz45q3URvuDNpTfjLyipQf
KSJpGgiSacmHv4ZZNlxma7+UhGCjgzJbz8os4dFOgbAEjlXM9mlOtqroRiRV0X/uIWGnizSY+uK6
DgCkzmcPJd1V3jvr+Ab9y8JeWuLUnuUCoch6FU8m57J0qaf4Rx+nPkFExf1gfPCiVlXVxa8XCIHu
eNUWj25UHlyIZSY0dFu2n1kyGzDrRiI8PesNEojmrJBqbcq9UVWp//kdPWJafSaKNCxycNG4m5ed
QMjLHIwCOaq+WFROIF5FxztlT7MaVNXMzIWxGvmBeR7y6k1b69Gpkasm9oloxcjaVpVGTItaZc/r
EbrsdumSgVtLVF3LpinTqGxu2yEEyjqWgi+VRDsVlj5namqThF2T+bpmzcTi8gsxG3upPA7ZUMXi
jRMsxUrtt0zMYbdMJc+nU0zspR9itCrMySZHFGSXadROVYE8GDNMDE63ABEcVrSa9iVKgI/luhfp
BIXVOdQvORLYiShwpjcx8TKdn9r9q0Uf8KcsFr2Y3oDxB/yWbu0CjsJYYmEvWflBEo010mKGtPL2
/Mt5LO1YgiTnq2z7SEqO4Br3FTtFbJh4L6DaBcMrmyK2eRske1XcGEQM4adiDPjDPhGrZFglwkze
EVqRGRxRJjGdWyztnqtJAYMLeH/EKDBQkd2iNrWe7lTc8v+9F9ccYFkOxAZSx40sI5gLzvmq180G
j7wiEUOTqu2Rhpzgl6KA8liJ0JA3AqUppFZ3EhiEWcg7qcx6MS2uKZvrqbamIMRuSGHrPUX1aHe1
KAo9HFSVbF54scQ1XMyhdO+SPCzQcnt8fNpGprwGoT5GrnMMK2RP4jhUaxa4B/Z2nR+yyVXb+3Bd
F7Z/bGI/Cs7QOtYgc/06d9EN/U2mSu9yd6h7INS0FMW7zsuL1OzI1e0KAwOsLlQaZ3lyLgvjWi3D
okH4zH6pjXHmqyo1sAEXqWNYmz6Iiy7kWzxey8sgDEVT/yFp+jRo0Xh3yRLvUYwGM7Qm6pwSWk1k
5drvMzV2SQJYGcXLtEv9CJoiFeUYorONK8Js9H2bQycA/fLQPG3HpETqWuQ7nS95nr2tOvRM8mZY
EmM3T1HakCKHee3VsVpTuy/dcQHt3VNi91V21YH98Xe9P43au9lCQagE9GSWDg3iTuTgi+t4Y39j
5sgn5JZtP7JKrQfbn591a4NqeJ/0ro2CI5PPznULlQ7T0R3UzE9SwoCB7Aad2rhUuVOz/JUMpc0I
82DMCE8qWCLmb8gdosPELHIWPH8wbKipR33bXbL6/RpexWvGTo9rszHwfHFGHh149cL4CZdcR9Oq
JLd8k4aKkxcHtb1kh2Hs2Y5LFBaAZTLWK/FhjXMneLe4q1bZjhAVwob1Q8srxcj29Q543mYrrjNX
6/cm7qlGftUhRH07OXPXiy45r5Co9clZlpfg3JdjuW0aBU0sskOfzm16Frhj2n9I+4WXLzou//UM
9lsyYlnOcODHrsklB7scN9Lpi7gY7Qz+2tZNARZHkAk6wcbdisUmzlHn2HAPicOl5TnsSoFkTyd6
3pH1Zi7n08kKTm4QoyP0INM9qW78grB7MEmlB2cnN2+NvjjtXOsPbrPUd4nvJ4iYte6L/k3Uqgmr
RDeN6rtquGOudNY4wXXKSAXfAVRF/6Ug5m7HSqIEfgjKetO3TRc1+usMez2/Q+Ffu7vZqYfuSokQ
TSdWgTYJgcACEZjxOM9hPN3oPk+XDpmo23hvRc21epbGw+Tte9ZIE+SXuN8QULeTDiAklmqySeqm
57XeBXKt/WSntLMOnxOEycGHqB7WINuXfVAtzi5BNZpC2SW8f8o+TbPhcsi5yeq93BBkbIekqDdX
H1N/m7urhcOBPnRAYgsDrY5TIjNxCEnQtrus9POOiy8a5BuzrmO8E8Hge/vVI8IhacwGiBun82UJ
si99jTCpzi7oezEc+s6dt6s0aV333Ju93D+makHKuhtkvRX7PBWh815hLgg+jgaZb3fuKrmq/iyB
I13ulmERw7Vjhta5DZzAbPdDy67ehTqK9MdN4saAYRgiqdV5vITZtuzcSarokCyweOdpgfoCAUUQ
N90uqTrh53up4TTib15Txu0DTpduWg5VNKz9j6QMxTjuR6k6CaVpwsE9H9K2D2P8AW5YR+cpEuTo
BkGAU1XnU6RIa/MfedxCBHj7Lq5GH/ItHADbgdcH4WQ32udlSgj+x+wb6ieNvFuoog6Ty9wV9kJV
jWhU+HFeQ6WCg0pnnU7kU25GjrJOlqsyqTtzYPSy2lyzdXRJBqXFMtlrJSGQcLh7vCjctVzgHAcM
NTbCNUiDCCWFs6ZeeizXes4gN4RRc3y1AXGSkoZ5P3H1hDlUMJBQG2b+dr5Kye88jmFns7/IVLZy
kKW3Mdo1mJo6OR/7pog+ha2hT9q5hzq/Ss4zZwBrUGMfEiZDY8jsYywtyj9HnUQWPLvkbs4+WWdF
LCvjwl4aqYMVgDu8MaF7husl2sQFQqqalKj1qfidS+SmLi9KXgKhB8naaBsQm9rnjp5jrFTz5bwm
AxOkWmlvzrifF0aqs1zy7FFusts+TEHY83ddmiz8MhfTD2fJhJ1m/CYpbZysAlnzI37pJYwIIbzx
9NdEJzZfTdKJaAOBrqNv84zB5hj5pWzfZl05cS0OStlcqlXSpiyQLHaOsAxHg/cTOn6tIL1rzwqc
uA/BDWC004W5TVwdMv3E8NWmSI9wT2Qae0v9usECr2Meq861iEWE/YPRewIdlbNXWVAm3fmKkhls
b3SYWMJMaUcwGjie6uKfmdh6jtBuVGIjI5Vtzm/smiFqAhj6dsVNRUJkt2Lhkgfchs2Shp9q7YE9
PS0jF6bn3VP+jcNd3KcLbyzK1mONRjNJT9+0WTWhLN/m0k1xjVUyLKuLHC6smS/REkXT3SZp1JXv
vA1NzXKm8crgH1Bua5MKd8BBM+9mf7U1cRz1bJYGvM7D2TO7Wg64JHyylMxPbTY/dUrr8MJVmZni
99uQ+13xNkqly3jWLbDnQAjt8qpTRZJ5V5vAHpG+6S3g1ZY9P5BOgU3UvJrSuOihN9qdSMei92ET
ZU2enT3drvmEncvZjx1UFeIWocgCcaPZfHOI7H5M67Iks0ahQ6mdbrLlD/x7+9NkJXp7P9ex5Lr0
csbl7/Nc2tQQqU5mk3mh7Gifjkc1wErd1ePcsajaEPiatwJ2PvsyxXNW6IvQkxXKqQavA9u0WMkJ
oDqRnLHgdYut67qZvWwaDlltYm98wy9oBEnt3K2s7ehMDc+Ct+cVXDUVFoPxbGqdTJCbt5lMCv11
0mMhmp2pRjUQXBDhibfB7A2ovNLQZ581rm+LwFKFVGyuBwXCMQoS0ksKT9Z5WMNtvRKzT/1El7B1
mc4XX/TV1yn3FiYlfcp8TOZO5BqmizVviyikIjH4VRHHW5uQGCxZ5lJ9tVkv+BOuC4Dj1XGc5buY
xn577zoTtJvIVU45MuU6Q3QeR0qMd9FWCwRVzuwx/06e2KJbRrHNwvQCSb6hxtA2kc+whE13qUkz
Vm1oAHQ7WEtnS5AoTWFLjpKE3XbPrNuIu3k9Ne8l9GI7G1s/sJ2ikMcD7aFY4NcqYnJ0oWS4DPkZ
HC9b/8KLPcjOtYrJo56OHky0Ta1qp0naBo1hVxs8CBOOFzZGO1tYzEnFarekdOO5fedibGl7JmSz
FXcImchEzp60R5xqOVPXUVQFJK8rzO15mrfL+Fe0yM1cxjiG6ovY+NQUXGxOQH4glgEH2jGqq45f
kwSDJlaVfWszUb/1ieL7+alqXKoMn+ZlX04eQYqEf4z2BkDOr8+SbLJV4FNhUaebHXS3LVaixClb
CwV5vVHxBlNcstEpklx2/5y3LUtaeFgSq4sR0SFU5JKPEI1nztIG1bVUgCP84Layo1a/sgFrYBmd
fL9UpijaXeQUZoMZyFEifBXdYiv09SlyJIuxiW7jVXZXvo4a/QtmxDc+6XMPoSMRv5/AnPHSxXOa
1PO3JR1snTnlTp2HByfAhZvszKh53z888hRVA6biA+9hYOE82zjHf46qraptY3eIhm9YyCx787Q1
6hi/6J/e7uWj0CST4wpLGEFNnYCUfp6pbQKd+FYEqY1PHR2WkFUtBGti1+sz+YgG/o5Ve8DUEpOY
L+m6/ZKVMq5nahyZ4tsimpFCZswbn50YDkHOMcx143EXblFH0BjbIDSAKFPdx/VeDT51NyiEZTYS
Sl4be54i8y/uo9WZLRFaGRruBHj8mT+9PvwXU2XbfpHY4imnHPetZvx3kHXRaTOg0w+/YkVaGAcX
lC0LuVwpoV5/1Is9h1ScDwCGEUyQT4P4k1UhjSp8lNrqa5LHYlwv0jUu53tvk/aIRCmGqj9tuVMK
xX6CA0O5j7UKsJrPoTx/OUhstOJwBV9VkNsYNaAL3d7jIrQXhJ/YOytNyPdJJlb+/KP2pavfEe2a
8PL1dz+dZtuRBtu8ZVU5bgi0no9kbodlmpNMfAGToHRc8xyUComvLedff9LpLNP5xuVthSt5GuDY
CXhdkRjGAsniF+RqsroeVG1L86KkUruYct9mja8/kOZxz7gaH4sMsDMkbwjDB3z0/NWGMt4IJqv+
opH1soO0SG2YIygic0e11dcLSmekoXmyR/SRczO+PoDgxeRGbOLExWyAvoVXP40sQWaVPrL90ufu
iiAaLmurzkA98qQ8f0pbJp3b1Ji+uDZ+/wLFnRDJhDjD1thyL8xPk9OUGPDAq0Jn5RR3AWJSAeMY
t1wJppqfBL2DE8+7wqsGorWcQ3tZ0nYAOdMhT7Ht5ju+umjx10GOgEferJe5IH0DojuLSeb94bKA
Wo63Q1c5Nrcyk7Fpl6N9SRVjit5e55EqyG2kEfaKV0orhiWfAHpDak/UrCrfJk1lPDxmfL5nk+W0
bEoiiWuymfmPs1KDTPrTMlmQpa2AZV+f/hcbTgY+/ii8UwmtKl5s7ZHKInfcbf3c5b0gZ80UssPu
kGyDzQB+QdavP9Kelt9Drg21fBsRjiZGCyCt4uD3oAXntA69iefPSRZZjHEskqi6xoXiV84NplJG
sAvqZKSIWrzUJoU0arCjeX0Yp28u+AKGS+SMEl4b4v3kEm2jHqeHP+Sfqw748w22/aH56Fezr9/6
ZuDLL6/x+6ebnIYboRQgRZH99mAQnmzyyHMznCDGfJl6VW73YSnttihLZTOr1x9l+0H+Pr/8dnoS
IgKLJMybEO7Ji2Xz4tZ1O/kfWzO4yOmBL2l2gTm2oNItShzvYgfh3fAPCWDDvlxCkdxTrIUaLzqw
LhAMJY/l79UsavJQbwtsol5kVCi5JAh8z7syt7DW4lgYIB4iGi5cTjHuT2rXBnbkbnI8wcs5Vchd
lGVIEAkrE6JMqioPHV5/6TjE0fqIujgL+ATS/zDfzEFCCedyTgNJl9nTOQjDbEiaaFw+jk1pb+a0
g6qodjhuqZxff5R1Uj2fbwJYKCMEFzR7JI6e7Oe5U2CqXpDexUH3+KwxBDqtpt6m+iOhnhD0xL3X
iHSYhXZpLUr66096Gi1C4MwukxsG0uKZ1IKKSOc3OInnSwfZrLO9NRzVCAZL4c09X8VIwXRWofuj
aETBRlnyi/iDLbIkklOXPmdni92Nv5u6xi74FpY8xXlk4uUTNDF5IKDDwQlzu5KlR9Yy7+RE4MeZ
qwsLLP+i0DiR7N0SzoN7L01BOQQdKZoZCOT1KY2fHxfaMiKEt81x+EoAd2F4unw9b4A8VaXf60nI
T6VuQ+zW0KMXURWrAIw/H444XRIsNUWdHlSQtheNX9X3U2ZbEbTx2EKaZgKZ6Ir8MMqH/mNK/Wre
14uZ8n0eT/5FkZR/NVBt3ycVGHo1aCdf93A50bspTLur3C3MNTdSvlGt50jrHFOKvzd45OlNqucS
D1hNM64DqGF1jwGUZi9DveTz3iT6fcCthF+9dsS1XDVtbhR2ZC9hhGh9gzd17cMSlGoAzuvojlDu
B6/+gg4ABeSS4aEZt971DkJpeedzP39VOc5uunpEORBGZsy5X7bt3SzFeF8Igfw2dp2gPTjgdp+r
MTEPtaP0hyjgu7dgU+NFuYzlEZpgVUjmIZdRHyeFsxuDZnpTt3hT5mQCsMnL8u8xjiJQ83SsDsOs
u7uNvjIH0k96QLSOE+zdyP0rGLAQ+etgvnhyCz7mYzju8yVqrippCmxra8HHtf/vzzMbgvTLqtPI
VOCDXojHxtAkXRXo5gEFOPWcoOULOk3hoQd7/UGPQqv/3k6PT6LJrm0L+fjF69PaavGbyp+Qqzx4
c8dWEj5RdNdRBxSHJa/lLZ6O9LYwKS0y3DpM1EFMisYkUxFi6KoH1FBo2KJ3OtLJm9bp5UeuIUP6
MNbDfdNwp/tD26idP3jBXy7Nj342o4jftqCWf02YFP9OSso3TGOeq/ZZlb0TjTUUObKJADUqKCpv
TsCbdLI+lF02gLCP+uhlofvVXQax36ir/qcU4XFGHmefNC3wSdJO7hOaSVSyD7P2gbOyvE/8tK3O
orobSo6MG318ff6fB9Onh0lEijbFIn8+zQbTLSCt1kn7QHOHBn3W4t6havfNrmmq6ykQI7V31jV/
Qc/K6g+58IkIj4fbNIA0iA0guKNPUwLPkWYJ4nV7CFAaK9JekZ+Lrqwvlm352npJ/Vk4yXIY/QzS
o9dOdBG0a9geXp+C0E7osy0orVgzQA/CZ9W5xk8uFK9KG+iDXD5kI8QBcJqudktMG4qDgSUZDlPQ
LBf0cUK2Xziqge3p6G8FbnU9qWgacDlkzrvNy9BlbyvAmU6TL00Bnr7XlXNdrK18u4r1vBWNuAMD
rd91DrtzF0GMrfttWKBdys6ke6kSeUvaOHXHOSh+rlFZ3AipivMKpPiiyLDgNeFQD4cuNeO3tc5H
XOh+9ZfTIqjGK+LNR+EP87gTtEu4Q0Odl3QtcXmBfPGS3TRkUACy7EuIEO7ED1hncIvma/C3B6qd
7iAd6H70+uTauTud2wB0AWcz1az07c3zm9pqBBJm3WX60BdBeOP0orzH07muh6pv6XeDKPtPJZ33
XPjKruKDUVZ1ix5JIME77RBAg4NaN1ydP0pVBm+AzZxml46rcwVQWR4hIgYifZjpByXc+r7IluFt
USTuX86UiOPrb/9yh9uPVyHLQhwV+fIFciR8uLZqmasfdEfAb5nMSfkNHYE19vKVdLJ2+bCZMb2M
WufbOpVziz5xUs0fFuHfpiS2IlcOeJwEVJ/PVwEtjmnMJusfKW7A8UBzqfV9tI15jVk4Go4uHQ3u
et2OxzXK0zOVpMvnPNaTusBv5N39YU7+ZUvgjwe9ZHMijDvVhG40aJu6pSp/ZNKNPtDVy9z6NU1Y
JNDhFVfMeDPW/fBGBW1zWS/Cux5aGjnsZD0s7wuZx0he23l6Wzij+Ik2uw93cV9UH14fZfQyKFAk
EHz5RLZEQ30q49RzE5o4Y5GyBWoIxKVLv3R6w5BJY6KQnkN+BTbVdDhHhxCU91Dm+MVpc1QcQLiS
ZA9V3eQH3UXyUzHgMwS0h/xoHZNfV1FhLnohlptozLPLLJRZsOvoITjjFvD8HGzapSmM9mKcls0W
qnNcf+pYVoNzTQeOiR+YpfP2cRnXZSYRKcNC0WSHvGvfeUX1ln55iBcc0WDdqfsaG9c0l7Dv0NX3
4QSoQBZpPgz+Qgu6phZ6pyVCJ+s3o6NVBF77XiQFrXUkEs8FLhpGcIhqGl8ZVCvXs0qM2XWFilBE
x36H6TKWM13EoszHptEVn3CADD+DwqdFmJlK/LKvr4734tqSEQrOkCOOZpqi8mRDT026NkkfjD9A
vfvsI7cb5jGQRLz7xp1u/Giq4JQwy8WHWIfdzxxzOabd1FfzuZCduQ+TOnvryrn66Gt6P+1HboGj
LnXNYchKuced4/wa9a+uL++fwt5Ta8jv/w/2pPn+ewfXf9rdPvX3JOr/J/t80d3zpCnqf90WvsWu
fpktIrrIgNBZ4IQwRiAlqjz117Bmi5D+MlipBKXtow3jN7MFFZyIbBsbH0Dil9PCo20vNmBaw7B/
+IgQJf0/TXeerSINTX/9+fcGn0I8u+OenBYIBFFCo/cWSPyeR9fao2Dy5ir8gW7OYly+Ciz69MSz
heGoqq+Bo0NzbPvVrMGBYxfmy97pUhfFq7a8eOcvlXyDrovoXCVO21/MSVOb6zpsFK0pu2oJ1bew
QtGAODKK6lLsM+5B74fE6jbe1vki669xHFLCkWXATWVRYctF0mjDUAIV6uZd7rnDjB+zDnWldh3G
9YZma2vPkLOmAWj1G4EszjETRsg/5HonIAmQQIJEPOQjqBHL9wI5l15TjFTT8Q/QLljYC8z5dXBR
B5PR8mIzGVJNOFNVFz9rNy389E8XsX+yRomU6Ot9+rIIVorBPF+jrRSxidyoeCi9ylI4QyesLD5J
sMOUqCvmDAmEpkspcKQTOHTIeg/9aTFZL9iiWbwZorw1Fe0u0Pd5N0kY9/zdb9v+XzbS84vxycMA
0s8XlCzF8ELHv+SF4+daOA+RoyfXxzgrM9kf6zgYhPsoGY6+VCEY4R/K/5O1sd4JGilJYiS3MRnT
ydyoce1k54j4ARlZTSsIBIO1+ZQHqd9mu7ksxuJdm8J0olnLO9//E6lyyju4NkcjJwE7wjjBGXq+
NBndNBx3ycWDI2vZC1zR4KdfOUjOcNlthaxvCof67FpUPS3q4H9cWorRl71mUl5fgJcjARGP6G9F
Px34vtNaFKQNRn919UMQzRy54+pFGIaPoZ5HE5wVcRpEX/TIFNCHBBVq9KVz10kn2HDxI85/WJVT
vNRmR3jEQswVlpQ5rczoXOWWK3jTdwyXbajPu15x6505aWOS9XyN9cIWef39vZNIJu3XufDH2INK
oihOS88s2TBgqcH5lhckBM4F5I49EM3S5abDZl0Gm+3kYFZf7RYqFSYiLNx8/NCoCD1E6yB2ReiZ
NxpxKfoa/7aZitZ8e32Yzy//QAJSu1RsAZoHYjj1/PMNM85pjMJjW74tetBsAheFFuvjLjOCMnSp
YnI+KNIze2iGubP/oD/n+If1eTFZULS2qgHQJp0NCG3PhxH3wNaribpvbR1aSU5J9ALKQyqLDuJK
IMOsvpps1NXXXyyJVo22Mkfa24KN9jnR1kb+R/SwpY3sdBUsleqaP4QV73RbW84VuJSvfMLIhdEp
lbiIuVUJ3tVvBkkt9CoKZlWP7/ttKGg4OferpblAPB6V2vTdBAmNaVfofECOkF4Cr9Vltm82Gjde
oYhsYQbahFYPw34MURTeRk2Sbc3eF1DwwC0YA732jbslVqhSFalVjLy+/iflDJEKHgO7UYS6k85W
bNbnM8/ObPupndQXGXZhGe6VC6HZA5GO1qMHR/poTlifomc9BvwdSgHCifJSWyov8yCi/jjOaOL/
dIaC0ygODk4yArtny0/O7sm2qJAq0J64U1+U5hT1Z8JUcXDte7lAGmNo3N3vngRlTb6sq9yNtNfo
8TmjrYlus35LnQvd0EXyXjsjjHdcRDZBWJ6kd9UY2uXpjLBK2SeFoNIlsuWtjipLZNW1vbQKZp8F
6trEIuToSVD8xM1CHr8TYUlrj53ZXCviUKER5hhJVF7+vlqyggSjf3x8EmfWDRF3iyXIOpIHRl44
rc0NBhU2+OpM1FKWJJP2pg+B6LbhrdZVqvG4N9pv9k4GsHIBbjxnn9u4TYP7yZ0svy8prNAro6Qj
RXl9b5xGTWafQhpBw2NX9xeErqANSOYlqv6yeQ1eyt0C+KCs3LLs6ksx9jOB4vUnnkYjoA3Muh73
toet9MUTjXZxmzRi/iy20W7GGZCX8OcbBFv9MZr6MPqCpn5jE9JSYTDZNfUmmNsfTrlNZ9V/kRay
XD5XhjqF1otgai8hW4wWY+8kUXPfUDgPaM47vKA/uj634vG8Mq2Hs1x2xXu4EUs5qDzsMrwYgz91
OxQocz3tBj/rr+o0jj4seNdiOlTMHuz/EDtuse/DjQ5ZbCIXKN0NUhC7AEWrPexQGdNtN+VkF5ep
LVNt150gpO0O973t11Jp1FHnr0/8aVzDJ0157tu3piYARTwBSqsItdPcG/lxGulll5yFGsXtlU8v
BPZtQJIVXOTevLBtl4qutf0uGx4zW1QVdkvTi2v20w/pQqWO8rMvNvjYQvngRWd0ZUSqcuzrSVnx
V7hWnLqUbtBsWG+lJr/X0rN6o9dfyf8/7J3Jctw4m7VvpaP3/ILzsOgNmaPmwVLZ3jAs28WZBMEJ
5NX3A6er/7Lra1fUv+5NKUqWlEkmAALve85zfqxd6U5lSL8d3xnKn3/THubQ3uDUau2XcMwd5tYo
Mv0GRsPRTpXLPIZlqIWTKR4ApjhrpV5SpOh50Bg5HGEQ5J7+FhoazK8glLG1FGDC+dbF8PFdkJ87
+hJXAFHDoTIC6RwENR9nSFaeF1zu31zaT7tM3SIkJsXWGiMTW/rPNSjKnFZQT936AklIr1TjN7PZ
hhK8+zyaYWVT+4KxsL0G6F5Y3Bqj0yJTuhzaN7A1vkVXNXKMaXlhl6qFSpDdHEafM6Pr/B1nccQQ
w1Si+9nDxLJ5Kjjus6zRmtSrYDGmJv/HGcviVjSZi6p0hPVFW9WrMS9geYts7fq53B+9FFaffn0T
fpqjuh3N7iqw6RhbkHt/3upaywZpyO+Nd7gBO1aHy/bWxvw4w20LkWK1f7cs/PQ40i/pUiixTR5L
Jh34nx5HWuzs+kIF74bJYoSM66jRcjz7uT9uKdzO26eLgYQKOrGj3Wr1TMPhU8Oix11Ci1GPD4E/
hGl5SEcX9+rIhJyfJGk4PAEag4k/qpYH1fePLeuXlluJhVFrQJhF+uPIqIFy642ysPgSrWU0P5kd
bvfi6FUVzyZE+Pqc+uu7jbrkxzWRiyfaQ7elLQu91l9OVGwHByMz1fouz1cf4vM4VQ6aj8VMyzvf
3ly57vtc+oCWfzCBmDUESPqNf/F/gItX2WezqM3Tkk6uv/vfTCDujCt22/298cOUVrRrW4mHoFTj
9DfGD2V4pVsefrB8mMoCtXL8hddD5gxFcVbfXB79IEr/B4fH4nd28Tq5dZbSdxx/9naAaYCz9StX
R4ZOMDf3FycHcMSsMl7+auHgiRFMX7w/mzcE/vF8ePz/8mtM47IA3qkXiHOnf+DUUJYDOe8WkgsY
xcNmyUHkj0gVR9zpbesKEcAOTwtK462nqj7bl4hdKTcvXpppiKnbLJP3lLboms9+6eZZeGCs+HBk
gPDAsEnQX+NljTPD9Wnz56ncyvW8IFDOi+NSNDxtkipaXBZYGpkT5mxj8r3hjCtoMdJkwQxBfWES
7LqieFydUPn3KO0CvoyXbxpFQYE5BnDh8nIbASD9GxDMyIYp6uPosk+WMowgSNbSIyLlqNrSarDN
uLN+LpoeVtv5JnM8HiqfVApcLkpKL4+8DMSVWETwUKZGudSHoHIMW5yraY3C+d4vHUyHcR9FuiYR
yNHLq1cs/rCYr10XFXO2N5AzW80tq3afe9fYp2VQ31hFX1j1A3gd4k/2RBYsAybRwnJ47yxZ+i2t
M44pe29m+Vr0O1Oba8NdO6LPaN/bmQ3aE/hmHUUvUID6PpEcvbmzdohk358Ty8/1H+H9s2UhEyPS
e3o3H7j6ROQ4LvwDkhR9x5x6rPjSDfloPLdNoJd8l65YGCTRMnYMgK1lv3Ecwbzxc+JyqSTxbNy+
vtSdJ54lg8YE1LnFIbO1Cv3xWAgmbe83vHj6PrcujhL0HROUfvtktFWYu1/7ngNNf4AIxk4rWUIL
Q29ShLmHVB2L0tRPr2PZTgXslcLIt+6YT5trqduwDPRbLvikxfbsM7J4BYd/6t+wUugBhoxCf/Le
avC9Omr0rZlnpIeU3kc8ILyHGZ8O1/j9eqR0nP6NghudlMQDeu8/V56bgsFzl4gCUCyC3OJefB89
6TZE/MmgNPTFpfib+NJPjBpq/5c9buRtGtuCuQijoGOCnXr+fquNy4//cZMvP0elwEbsbQvyABIc
ovn8VhW+KOSxaJ2Vi+7tTfEime2gLnnmAJ51UexdPqhum0eGGifvSWZnesRr6sVWlc+rfx81UEpx
+9hNzY/YghqbTChzpHMUVyhL+Lizhl44czTIzP4tutxB9ETagPz9mnK74IyWCPw7i3XC76a1Pebl
o70MDz+tau6P76KMhWgRoEqQifJXqHeH7CLnyd3c55srqUVB/rIZhTuNqBNyR9/ey0DaYLvyLrlI
/VesQg68Dronh9E1jLl+65cbamwLEQtw3Z3ODfbIv9qqPG/Q2ZU4Zt9abPul0B6Vm6gEw/MM0IbP
t5gDu3+z/Kxl+AweO1YuXs5sdu8Hatn6D9qz/gLcLeRL3Zp6OtBs0repnaCOLi9TnUEIOrRZyN9F
r2hlzqka1sAaMXl8GytFCVEyOH6/5VE5Sy5GFfhoF2xsquPFS1Eg3j/OVr/55gs7tzKcd3jmkZEm
yC5TXtwr844j01hjnT3XFAwo2fAx5dM56DI9nSdMlnyvwoRQhgfsFLZar5xoQDN1AqRoNk1SR27d
YBoe8DCcaRkhBItphw18YdPo1XdNP/FfLLvU7TxzsSgV9dTy67u5GlOKAosseXUrz7r5VXMkOQWk
66bH/hKxlJcH5fQ46eNQ5lg4/gADgPlKI1JNIqyF6oNJA431Jqu7Do/D93IyyRS5RCSeI/wRn4Fa
wBg6iTLndhydb3OmB9TNDRtSOIbbKxbbbhlfemfJF/80Xi5dRdnALXKE2iquiKyXwQPjY1qscqMk
QKXdWUroUUO9Sg/xS/00RITLHbAmMD1GPBZouoxYMsD5+b6g+mhATd58/yO2u6qNMFIXq9/cOsKS
/IS/WvoMO3tYyp6/F1lwotcSf2Dby9Q+Z9Dw+RuYP3TpLeVYTtWw99yKEmVqVRx9m4azE7jwmsKE
d91Uvp5PI54QivAZAHCWSsdPV555w8pKAwnWAQCLQQTyMx8BRuSKWnxZI5f2ruVac5UfFrZnqXG1
pAOMxbvIIbQnj7uJx91tUKFgHR9xZjRruldpaaz5AQsFREeSewz6vDFmotD/6GaOxZH8D+6E4W5c
ld82+rHReKkebtKGfWfvLneyHDsq0U5hokW+WjagmcFjtU2L8SzZTFNV2ASMvI+st4wvYxEbd6BE
dqKHkUDI3x84XuoqVV2wX2VnHTXdIj760Zr31purar++8/1egL507W4Yjd+XwipVuueJ5tRgNSBp
9wZxPsRivVKRXKrxnZn1ZUYYkbc6uXpaAvY2/ZdoLube/jAA55DmUVbT3ESJYW9D9YqJ23a7P/z1
I+E06GrQgkWTNTHKmzKyk5lvGsEcB0SWuToz5duVXD5LrUfk9qAh1I7F9NtyU9ezXv8i3Ol8Yfev
Jy9yA/0T7bfqPWxn/T00TwY/sWar/sHUoTrR7Dm5694GokLBVM6UM6Z327haYl8yUfWsjBr9L9+H
LLZgViKkv/qfLiV4vZwaWYI/VjoBJEJphg9THmTQ/BazpWDvrnBQ7LNWuPBLmbHpcuBAn4gvLtuy
8dxvJuPbNek/3FG31O8cMBS/+v2FPBnxSOsZKhrprBsSbVFuQYUOQUzuI/g+fX3VpdDYw5xhNBh1
r4uQA7o01901WdN3QCF6fzKep8JDeRKPC128+aqwM72Ny8n6Mp7houu3hbyPNwR1jecI1jv482xl
bN1m3LWL0mMySDe7KjS2sm1ASZQ1s/FwuSHUgfWiV4UIcljeB8sor3PbqcH6//p49dOBnloO6wMj
GEsD3fi/lJXzkR4C9Wr7Oe866AhxkOGbfJaE7NR3veHqGYSxVHs25qLX7/3XL68Prn+qd+mXB+3h
e1qz+u8EGpPqjGUIKFVdlkYygfS8wrHNTPr1S/1UQGc24Q8xeS1KVvz35zAFsouAyLCV/GOMmJBH
uqQXqeveBxE9K1ZkP9cf6gT2jkGCMZOP7Pvi+Ov38mMJAWku4wfSExdPO5xxbv9Y+05nBx0oU+85
oqvmfyw8QGb9YRjCwNlvkLP/9j7/9QUh21E4wIhkU1yMfiq2V1CcLIIb06detTwosoon/jlY8UVS
1vw2s399gT9ppvQVUrs1oTMgHbFoR/30gqou3awda//p+4qx5BoYijCKaDjvoNwhnA+lSDf5OC3O
Wu6aqdXruUOmxbMxbKja/qYqZ/040nlHHKWwYdEaxZFHie6nQuMKkGcJVqd/qi+TCvyFnuNqqlLW
9YIcND6C3J1gfe8isiV4B72R6zdSCqeftmRGNJoePBy5nhkrlpY1Yanv+XHmR2rdFavDeTJZLv0s
cVlmf31bf/4Y+eBcE203HRPLwgby013luduPtjLmu3yo9Mq0fdsIiQE8/+NqhJN7889fz8O/9S1l
1/e/6av+JPwLFLsRG9P43ffHnoKHXcZmx8raxbiLsn9UWoPohZc2pLLIws1U/Ytey1lSKtHwkO8u
jyU2yfrTCCpIb/t26PUD49cX+OP6Q30WgSEDVYtS6BTz/z9OxGXdVCE3rzrB4JGVlwRNEzgffcmE
+WdLnX4pPjrEk36oBcGYTX58qQaA1QpKLDtdtiKzB82CcWT3DV9+fVXfpRj/b2H1qBXyUphdISyw
hPzFeWia9GXgTA5HuWFGgDjsKa1GmEzXnrrfB6InQ6xeQ0ZtNSKJc+O0iAQuG63mmqc1Epws6SoB
vOPGdqk9mOTYAfDpTit7A6+7I26ishC+pjYtpw9DjzU/28vSdtt+39TTZo/g301ACFq5RakNH7zV
Of5DdOnnVT6HEec+bRurV7dVls8Rkplp9gskrmaJVOPEQSMoml1tlIKP4vsGJTD4tTwGcK2HAjv0
kIeF/20Zuxw1qsVk6V7wo7J0czTU24BlxqpknDo75JzQ2hM/wBbLn4I7Z6j1Zs64rICC5iiz3RTg
hou4GsbGAh4M+68tdr4IwCihlruUPHoem2CILhuZbzsoOmsL93frQ/0QD/qZyhKolsq3SfEgHOS5
AaLNTsGkW1FkSa2agfMU9fy6rF8ctr0ROPmVuChxLn3T0MWAYZbUWdfLOSxC6kdmX15NDWVXKjAB
XYa4xDnfpYkxddliNnHvoB6yH6I+EgFZWb3vev07b43mrXtHv0F3tNgDmrZ/BzYVatS7QlBtznaI
kJATHHLZW1aZNBabzt9Xjp5DeOX5arE/Wp5ax/COslkqHrGWl5W9L1siEDkJE86sxoSoZnrp+xZS
AXK9RdmbXGEP6Ti+hK0ZJgXAI2u63FTRAHcrph29FJymo1DSFy1ycvRcRL3Lm0+KHgG5KfQ9BI9N
0DbyfUvlxZhwQPm65fZ9Lerph2f+TdiwbmPTIJ2V0M7v+ywK33qfuLajfuhchgYRdewG26CuOLIB
dCzAZ89o8RuLlSzrAt6GjbswXvAnRu9YxLvwWZCjB2W+8DKPeJJsefbWwgNnVCzpEaeicypMZzs3
Us0nKhndUyB9O1GRl98FyEWJ6nFn+S5lUJ9cor6GmNmXv5VS1O8zs4BUQPIuZ9HaGY8cdikp2aTp
hML82FVMR9zi/g3geLKa3Dzn0zUNeShhEuzLrpjut7IezT3P7nEfrqZTM2L95nMupmeyrcS1dI0M
Ov8w7r0B9hDal+w0d1O0y6MlfAxE3tPXF8WXgryAXZ3DkFrdtt15adRfhZvdHOBt0wVuhQetpwrX
llDEFl4Lf/Icch57k4rIEHQPqMKx6BwrOAXkLUWld8hLs3sWLrX5GJpTPyBh7bKXRW3hp9oALhg5
U/NuCe1ib9qjeYXhkHCUzjAAVVCmO8hxaL8OZZA+Ujws0CuNTvSFYAKX84wlrKfZLnMCItfW2FtD
Mz4Ns0vBgaVgR64w0IxBrvDAmyUksDgizOZ9MdvRekaBMH0ebLe09h1sDI45RZOv8ex44ddw9IJm
Z6SGvGoARng71xrLRzU7lcbVdNfeMFrEOYR598ksB3GjAte8HogyZoSmqHY5g8zLlZKTukWiOp+h
FRlXBfFM9i5k9cMWs6Dk3TZIEhybhfFhEf3ytQeFkdiFtX0ahrKzURQI5IPbNjBy81rUMYopCY9n
Wyp1BW+EOALTIsJptQIWYo5UyYzT0LlCuF6LK6l6ebDFZJPH1BCg4Xiv3rJ+ht6V3mFEmuJ5mMYd
pUVCJTPVzMHOWzvod8HY3onclR9WodiTmbS3ocFPFRqIKiE4iSBTRNruJzrTXezYdXvsKBQA5W3G
R0BQ1SM69LFKqnHMXvp87d9LJRob2uUESN+SgohX3h8d15CaGxNP5RsOyHDBFDPkgOW2ufxUNmKL
afI0r21HEIMQs/UYAX06C5tEjEma6ZVbtO6nIfTVTUm9f44FBVdeNB2xBRg9J9Ipu/GBXBdxbVXR
J2mwqdlBDGG/4pVDjw/Irw4s9KQXRcUWnEaryx/Q6aDtWHL5QtSaOGIqtI6lmP1POLpfFs7JL1vf
bOGxF4iSy77Jvq7ckGOOyXnasw1cn0dJhhDE6Z6ObZWNsQlv5uwTy3Ds2YdacRYM0UvUjtGbo4Tz
rpRp9zZv8/Z1YoDv5qCzb12EBUeTJ8WuV/34zP4ShvzSziTEDtXHzezao1NbKcosysl3+Wq6PMsU
K5JZFiH1IK/yTwGNmUQMbXmsvEm+oO1yeP+zfWWZrXMofWf4QF2uf4jaXJ6stY6em0Zu19lQ9nsF
d0cfg0ncal1zvJKTuzy0QyrfScAWn0lpYXGw+3W+c9eGyUNN695yxulayWA5F4uCp98RnXpMNY+I
4zEKS8oe0XmDInlDarF83OwwfwkpnXzot3B8xwM/gzIog9vNMkY0TGSr1lHq3dDhthw4LlG9C3Hh
OIx32R62zOgeKkrwD+BdRJ+gDDEPEs34BzFOLvkD3rbdyMidrhEqVVQHGjJ+nS1qWLMbtcfzFJ4s
en7JLDb3Ppwzh8q8NL4YqY0G7Wb13K2IkrVR7HV3wURJO7ypPGcOxr1JuAgunzoS6c1iiOyBKkt9
BzOkfa1H+YnfySj0Ftbr0LCDKaegvFNRifzSE1ZxFXXC/jgZJNsnoC7MW6Q+00thz3N/zElbcJMI
st21m3YyPEQmoRlXTR6KHX1cQktm+t27MNoIqyEeI5rjxkkhLxr0+69XPHLca99cRnnT40KsD5aS
1nJukbzfO8o1HoM2KkQCERfwWx4J+VRmxUzYMWik/Lopqq4ghKn1ECGmqWUciWsetqc1bOWUH/XW
w9xFveoIcuOudQsgqYozuYRsGrBzSbxmSudbqiXlkDiThVEp2IjrAHLl3yDXS63dAlmouh45iI+v
QFW3EKqgITFv4sY1sxZZkQYwBVeercy2fLc5a2rP8ap6HaVks9iZ59ClI3DsgVxK8rcHb3qODCBN
KHCyOsLtYKQZTi/DjdRzgcfMj+3crR870q6348JBU8Psetu8wa+j2oSYLzO4DWqWU3ClPSACKltX
JZzrxIfLdDUawDXLezhefrSRfN60pmp21GmaSqu0hO019+PoluEIM7X0a0J2p6FjPoQb8d4TkWbN
3rWmOr+B7F76cdNS5tXOsB4MULPS+AkmmFotFqpun9EovK0KyqS7UhXq5GSuFe5ATeQBJbFSWucq
k4J25OQFa2wvdL/90R7vDC9SQdKUqTvEgVs5lOKo2b3Cb5NfZqJTdo4UhDZ2XYrPmZAWe7ITtnC5
QaD3oKVouJRz/2k13C5gYzaFawFSjcYGP9CRQ6eKzyxCfejvc1ELoix6S0X7qgE6ku+FrTrPu7WM
2Z9egO816ansCcjL5vnjtuUZmeviYxYBroWJtDTPC9oOeIgpnhIeHiaLhI+9Ngy263q16zvpFNMB
7FOUiF5sIiZ4k0CQpvGaZ9nW/k5KIl2nEKBNLOex+Txm6XaA+k3nKlPpLR3GEDS1GpZ+t/GwcR+i
IXeeAwREEoYwtR7GAwMmRg+3fLE6UT2Kvh3C/YBd+WboWpLBesIl9xPBB9q8BTo2NhoVnaGx9Tu7
7etD1afec1uZ1j4a8w4+qmfc2pVyr21B07LLBprXEceinW2n86d2Cqbjpmy7js2Ah/COKJx+2AvL
J1idrByki3JJ44icSZVALiVn2h9mQT4hIeFJhyByOg+w09R+pcj9vKWy+JJCKOyPBP7MO8mkXKBb
V/KOpzwP/8KvaiIa2F/wFtInnjoFCaCRn0ytyF/LIrM+UnlTB0Q7xJqZUXMIRFA+GKUpIVn7+Xuz
bV7qEiVYxsHtENhp+aFbbCKfPIcYM8dM5dVkO6RxpVKVYVJQHL1Khc1FZyYV7kLNCYdd577kWHI1
L1bxucqd4GOVZpCpLWe5AQcIglL03dmhZPxK8d2u9JqmcCOXZn/rg3Nl38riqAeh+9mt9GF4bRv9
1Fb28NbNoVHsa7+gEUoxufPPRBEWXTLIQkE7rLeOYmGwlBaJFawjmi1Vere1GOy3PM9HeFg174HM
USxnScXfBQFO+Eqcr8I7wzqwAwC7kAEle60qu2pEN/4mOLXlSSWgRHzkwbtIDPHhMp8I9fbxpJfG
CTK+/aJ1AweL+BgMpash7j1PlW8TKTk8Hjh5HropRQ1FIJZzQ+tOXosVsmgsM7Y0N2qYxFtlA+dJ
BsqMc1zMtfo8jitzhUnJOW0SVDG/ANDhH+nIzXuQ084VReoMyRQYVTbzgTd/BRoyp4cmyMdrd+X8
FhtsR8ZdnfaGtycICM0vvkDvdRzq+kMgZpVUgzPsiJzszbtpCaxnumthhCqIPVzsj0teH8lQG69Y
/dplr/o8J6ZSRToJaxuM7s7JFwuaXqqVeGtjemIvBcToGEUKgyhx8yYv3Qra2+zTSmmIk6rYpMF9
4xg7J+naFzZ7aqdNt/ftMLXVPcYzQsU4VaQVS1rkd5tIpDVl9Xo0TAz77r0/OWkYV1ZfOJ9qZKPk
oc9GqErixWRbKfO2yju/ixJO28oVUADyZpiSgAeut+5y+lcaj4ia21137bymTQUAIbUdExIaBzDx
AC4BZWKskHlH00FOoi/eZ1nldtkOGqKkjYIbx2llPKuevGew0pXfnqd8Mprfh35Qs7cHhlY05LH1
9NqeU9Om93Ik4x778E6urmGWD+UkKj4H10AuNZUomekBzMjcufyvjREFJM+KoWzXXSRyBdKCLlP+
fCnWGkI3HMY60qVR20qVuI4wnXISRi+g+yDMww3fs5uayj+iq96Yb701RMWHSSy5RhAAK9oMTrZp
ufg8IliOx9cpp6AQ3oxsKNWdWUbm6iZTNkx9BUAIYyTpibZXduWbAxhibnZePU5re+1MXN4WFx0q
iyFB9OI06bMzeqIAmYpQtSBEapr6tUOHVIzscTg7ZP1BiLBkPTbGblfBlr21EXOxdSdB7bgRIsMm
KnSPxRg06yqows5UUosESdVUL+4+axWpvnuxoLiJqB20XXizsfUjW86ofWCr8PAIpo8tt4/cPfFV
jnuk79e8krBSvxioa8bY7jCfxbgEFXlkft58MVsdDYf6PZfVvvOHKN/NEp2Kije7p/m4+RNce1T2
V1GRzQ8e6tgTdeDipjNTJ6lsf7otrXUlpdVpAPPOEY1gHGPPZaSW4Ez2J9m7TitWHQW5VO1RjiYq
RhUK/MFIqKsvYjPxVKZS5/P4PEen3ehs69NQGItig2CQDBcQrQndSHjeEWLl2JD+EKo3Y0vVKmIr
W3rrKayKytstRdt+liYN7JjgNo4G7QZlPjZlaeV7thNyOE25V81fiMXSFRd21HabbBXEf3xac2oc
mskKEefYPUFcqekSwuWu5nCy8Ip+wPjqkkwXpHbWJRQUC48TarAOd03om9PONr1pfI/0AQoKGlYo
ywmajh6kyGTZ6Ioobt1lnLyb2O3Zh98qGm4qXpwq2AeVX18Z2dAhZZ+w2gugyqJBumGvEzGyrRfR
kiLW/YhvgQ8mgPMROyrsTz2RzWUyUTB72xAsMDbS6HEyzI7rJIbTt4R6WPmwdwRlhtEeHMfy1UC8
RPGwFBkh1+ARPnK4XPLHoGyk3nU5dnFiB+NfSYBmxRtLJH5/B7ftU7c46S0yyexLJi3ufLhsCrka
ucxxtQG1jkVhLi/gi6eHRRL3eiewsdEdDpqO1TRoMCtUXvRkUT4MdlHZLWeLokWxW9DG/LY4Lj5C
rxrcU+uWZdIv0nvu06w7jHZrvvflYMVRgA4xl/WGQn/Y1hjL0XqHp9IudvY0zJi6alIM46iYo/mc
+RJ12tBuyEGzlCCDcIlqLY3gNJxA2F3BwngA/mLTwVgIAdKBx8fOJ6UKM4oAiLSTDT2bAlKwb51J
TDeZbc3hzvQyQToBAo93iwpGVMdjy1WiBiBeT+ZhFjdswO97Q+94B4hOsPKNdS1iv0oj5ChVX+RE
bkLAoyw0Lw9bQwUg3nwh/H01I7DbOWZDKCBABSoUHnI6ZCON2M2O+H0Z8pYwv0Ely+itHwJWi/la
ja0Uu7qfw6fBk0S4jYZH6qaBpufKaezu1qlT+zokEipAJoTZOJZWGl1DULIBLxTVlTIEHulmKBM0
YPYnXDFTS58B6ClZyEMpkwCEw7qblrUEoy9DwlSnvAhr1l/p1NelZa8elurFezVI+lB3VK4qCKVu
RyJoLRrrQxGheIgbhBh3cIsHU5PTVg4FkY2roU9N8jobq8zfgWyQS8Jzk10d+/Nd7sg+1PfNv1+c
hTK0Y3fpXVg3zvselUUWQ0b54AxN914SlxfnBUG+AQRshFLZzJCvCfuDjZSxt1JgVNl53MoJe89A
3eVjm00GuYNM6p0squB+nMbuavR6vB4ywHUuqY4YqRm+UjEuAoZB5r8Je3P2yjWHp1mu9pnYESKY
S7C2erdmNkhnCAmPg2EIT4NDhMgOgDobp6aI1BEO0Vw/4ZYtdpLi1k4y1N2kd7xpz/bFum7XLkcb
uFjv83RV78lZsWIxTCbWSa/aN2Gd/o6s2Ny5nju+hGz3j3CjrLcOBfp7k1/xYkNx45D8v8dzE94q
mvxHMY/MunD6hEB5fBCTuaYAtzrTYh5sD1FmkGguLbc58jwAuDWFpMyCXbumimbcLL0tfyspduxC
xUGFeOZ2i1Vuda8g693nMnfcJnGp6p+FaC1aYSgtK8chkpjqv9xXgnqQfOMBVTXzjh54ugbvOdF2
jXiS7kDa7f1Y5j2r/AA+FG2S7HGGIBJQa9n09BpoOHb37oqUhpwUG6+GvXM6SDX52QS1WW5nhNzr
+JIWavE+ey0g5BNRh83oJqkrzdHYhbPnYuVnYqNmoaeFPqKMrIIIYoR31sa2MTRXANuVL011nlZF
FTP2beUdXLddwo9+244sKr2oalWzjmnM1Y59HjoFcEl+liFocdFYIUdmG4+qasULzaRBxu56SEFz
0X01e2MNhh0NTYR6+0EQpgyTZyMPDbWQyFItImcM6mC0rMw2s3+cnXDkCFM4ypfyVeNaZ2JDNi/k
3IdlqFDlXQljBbISSQ5g8vamcKahf5uqbbZWQjwzUazJ0rlsyeKNLNReR85wKo4SKtb6Slw/M6P6
mGdqDvrfJtJQbY/on7Di39DCB0SsGuPAgfma5OG09hMin8jgO/xNe+5HgwjNPwzU4ETYY9KVJuzs
pzZua3LmKJWIPpslLpLvXW/bB/qGrstpMtSeSzi3TWI2rrSDOCCCCqUKsH+ewqPTquCl/Nbo+vX7
+rG7zNvSOFfsqhH91wDf20/N0MJbsSZlRfCl6oRutDQX4UdTRTUD0ehol/1No/LHnrx+RR8+B9wy
vMO0fL9hLv/UX6ZoGI4mfomvzeUVAUJpAYbjtZLW/BDk7oQIbjaVgeWjKGlWXj6K/6M5vFvF1//6
z09fmqLdFQPIuc/jDzQHB9DBn0bHX3gOd1+X/7j9Srmn+ze/9kd2pun865uixonQ7zKRGccXnANx
YdG/aOP7NPG/KYu0u/M7z8EJ+CVUL5rUxABgRfgfpINDeKYdIWt2sHmYtKnCf4J08H5q7pscguBz
hwh+mGIRKqcfO+596SLIxKR4I+2pWD+5LLwDyu5gxGZMZQilpLNQRl5PhdMNjXHu7BzEQoJgrD11
8K6PPuD/L9LJJh6NpvASBRZ+u0ZBE3ztZR3syMXy5daf2jHz6b6hHltWF/kK1c5JP6NtWwCVC1oE
pyiXebzs2S6WeXRvFsYYPNKOmynTCZ+st/WZEyZOMH+ZR/ND7Sw6nWdzDXqaVHAp1FxR618SFQZG
bM8NuwgK3TwfVX7jzxg4w+fcpgS7UPNkotl7q3HHTWpxWzO8G6gzWvuwdJ3a/K3og3GbjkSkhNg7
B8rO5nUBboYweLP/nBuDpH0t1gePVk+QaCI5v+qvxvZRtGZQXJiT/zcB/2YCIkGzmRO/AKqMn/I/
T73vv/A/U0/PLzNELANDx/42if6Yepb7L9M3bbpLpDUDJ2bR/T71XPtfpmUhsglY+tFwjPl//ee3
6ciENLURP/hGWPkHGJXw5zkX4t9yAGubPOphe/6s++rYKxF/F663eNWNrUrCRazrofGX6LVpXOdc
KcKeyIPOxPXgucMXTtDFURU+p7W+lSeJOYviaqcomGAGJWFePeXr6j2whx5MCPW10o9rJq45zdup
aXw3XZ6MYAWvnxA8hAjnhUge9KanCQ0IyTbLzFHGrFMDZwH266sOPtAQJZjNuvB3h6iaYjotukzK
wSkgeC89p4GCex8FYT8/04g0mdFoadBxYBChFlGygbzmXrrOPXFWKjF5WQ5LwiRGvMF6G2futo5P
bEUbYAt1cZfqVO4+YAcNlt9P37Uck95tsEtOXBTpDttkvKFYKd4xQSWmBSpojxTaScCS/XnziuyQ
d+n0CYBSEUts6WVcVJKmhQk/JupmckITzFc4965QohRgqOKtQoCxx1o199esCk2LL60N1V1OyIdx
Vku3gG6rCJx6NlaL2KYdUTVlhi1KeHZwtAuA/sc5NbuxP8HgTa2CaN0KNKt68mucIbdCUT7nU8CH
YTfzBcnwfyvC36wIkN1sZtP/viLcdYho/mP3qepGZHV/Iiz9N3vn1WW1lW7RXySGcriPCidWjhQv
GgUF2so57V9/p8BuF3S73X73g82woThJZ+sLa8314wd/Oxk8+wPaVpuvs43RBKsuOtjfTwaVkwHS
kadu3lV++eOmbHKcqJgK+G1cphbMtH8dEKYFZwmQqMOPoadmKPB3bsqm84sO16XYw+UOZgm3ArkI
v2pfObIaWKqOfiHR4yVynxI2N8Rhrat+ycBBGUwvakpAcf7kWlnrw+2QL4pe2NqmlTiwMFEuYg63
COJFuUuwqwXEA/WXdVIdAO+MJ/xSTggL2z7DukLyXfXEIlaJch5Sl87SLO17pvQLGywiGP2xzpS9
xorCZw7QBnbfrz5/H0F5bUtYBeN1Y5+1XhzwvBdfWMmBRI1LG+z3CRYOvMs2vp1le81XInR4H32T
b/WBcbjho8pDQVHYJ/pViNJECImkfRstbSYosQF1NnVZ0BnVehl3tFTzoIaI9LgF26nfFr2COD9j
yqJKubdqJvBVou/Rz1TPHpRBOqo8hdJuRsXSXXf5ilw9yYfXTh+MXeGUbtBYTXcwSpvHLzVGQWsL
tapyvcOKsfrOSUQdlpomD02ue3RNNMigQqZDMmTXHWrZoO1zGZUY//yRk9436bYi+kAjJJvN8udy
XAjyKfpTnjqXWJ1iXzPKO9bYczTEzh4f16HB4ODHxWYK92pk7Eaihnqs7lnSaIEl1idrmNZgGrYX
0eTsc5j0hwUqyaCzFDsq3PEznJzQWJbyRKOdnhtSvANDX6JaOjslLZqdJVuWJbmNBQZDAcJx++DF
3mlYazXAYdT4KSyOp9VI0a6oo0VeDT5hY1yWnW4mnk+kznrUa5E9OFkjj72GrQmKAlrsRbN2eq8Q
HbuoZkj0Gzt9N9kvI+aTFpxN5GnZp2ZpzHOruMe1ioGnWCj0xr7DAlYke2GMsCIRoCBeVKI8ax/I
K39yF3mR6TNjlck2d0qVYhsDhbR3mvIVzvSnrB3MPXbvLpgBSUaqlymnlpwGkywWImY8K+SaeCj6
xbdnLgm3SxDKZPVu3AJw9CSG2QDfdkLCGJg9EXbaYB1bnWyE1ZRakHf9eVHyz3I1F2JbXBwaKfWv
VSVlIGXlwr/mWkhhe4VO0kBekCZDGrFylyv4f7nWfSSHqsQxvcShXfUTKMGVeQxTkaiGxbSzmaXu
YiN77HQ7uSSMsNwZ7ueE0ddpQeIeWI2tPDBMLvtgtIUZOkWaghfK3QD3uepnuVj3Tep1D2q1ELnk
ePkd8GgzRJxwSZdT7NwsnxkECnsnkUKGYDScqCIy2x90Rb1JKccjVeYlyjBXgLbJ9RD5WAaXMbOP
mt7FQYoP7qDryXGwJv2MhHEMAXY1jyM7z93oxkaIRMwJ7MSbQ2suW1+1arZ0VqY+rjFh5AP2I765
rdwNouHOO0r0gzKv7hFkrzfEdasnDXElKjfbFmkwK7mI8KbP4TKUbGYLOMAQyfIdT3W8YJcFbttW
LpA9FfuaaDrFzLH9sX/khl0cp5a7+YhWNnQk72cje+tAxD0VgKF+W9C2hdzMrROmZd3P7OFeddMj
yxobBZ+T+mZn3ZEE2kazamwikKX15cxi3TQX9iGt92Ucirt0XW5ibbwpMPFsiiKNODLla0kNsyso
dLrBQZXDn++dClHFutJAVeyKE4X5ALbrcI2n3heO4bJ9SV9bhKh+4sr7HonSgRBYyJU5LcvsjgSx
qu4a6Wmth13VckkxqL5k5LCjUnv1SGby3ZSSZip76z6GohCUjheBfMUkrWX7xWy/TkA5iX5c4yur
2zRThaadYrdA11XoU5SvjMBZYzabC8o9CEO9rgv9k233F3jLsmNvLU8uZhPfSe0hKFbDPo5qWj14
3vRcxN0cNo3z1RbzHEzEDgZE7T3o2nh2zIGFu6ufUoDWvlXXxWXhoM5Uu5tCxChqsfpBm2i/EYmm
hqmHXMGSY71n75GGuLqyqJ2H4mItGMjhD3JZrsfeociYkRvik7e63gPK2ENdVNpZ2hmSCH1td4Nb
TCGrmtKvpHxo2RbckOJ3kbHX8EGGLD6OYr7PWlKwsbRY+JTWfZPDKrWHNj2vLcPzrkXgOhkKxJRR
x+zM7UWQePVS5MtHwAfjwVmdt3pEdSOSQuxGqMPYzBdll1TxpoSfvGuQpzdq4gi/Nc3tic+XDSHK
wWDpJH/Hd8RR19GMeGtpU5hZtllgvVSeiTNgaawsbwYgFs7CcTy6hF5y1qQsguPYPnD+picxmTOR
g5xys6tYqPzcEi2sbuxTaVjEhc3GTie4NmCpq+0TJ3ueqW4RlbkPMNTPfd52fqMk3wwF1WRRFfEO
65f0zcbWdlaNUYrprnpCTav7xPKhvuRU3eHkqsMZWrVRfS7svhoeTYgiCNYSV2HzdVhmbL5k9g4t
9s2nIQbxwVcRSVuG6oSrr3SvY5xkM2oVQbYVX7I6gzGLXJ0IO3I/ncbW40djnHGsIxpaOzA9EVFG
nN7AwmSDY9Kv9Ni6Y4LM7OCF7MpKVidoZ2wdAoa4tG5+lRX4xzGhN53sun8a7h+l8F+U1xg8ttCP
Py+vn9eaYVnyvrL+7Wf+1XNTPlsbH1S19a2PZoD2e2WtafwWIy0DPjblLe317y23RcutbhAxE84c
HqR3hbX6gT29o21eKZWKW9P/VmHNMOud4WMDMasa+xKLoCmTJnwb7r4bpaIx1FIrbuersXxL+iIU
xed378Z/AFv+PKtl1vDLA9A8vH+AbjGKsll4ABdxm+C7Onqv6XSFcpJl+n9/qO/JLj+9GFxAFtbd
jWnJ+E79ZXK3ar1WWJQJl5lVrGqGKkxhmI4cjKFi3lqf+mxJXOJUCNtV92pDnSbx1iPOB2NlqG1S
vjGIcJ3kOhlNwVZ8T4Gtglusxq+py02yvBhZxCjmWbWp+griQ1G7uhlsPBuFRvywtgNa4dQ69UOm
3WRtnaX+msUsCAOdgD3fNTqLW+hkY17058nwBuQRZSvyewgeyQQUw6zQ9hKey1bGT+2VRWc16qcO
+fbjuhQjfK52ZLpG9z7vwCsWRnl2BvR71mLLKxfRyvxJwUDj06WXKZsrMnnRlDFzMBWnkeds8AQ+
FxR7ZhWRMBl7CjHReTYs8d4purTff/9E/mnK/+LUYP2iwyP681Pj5mtV9WuBuC/9uSn/8YO/HR2O
+YHjxyWZzeWQAEjARui3o8NVAR/DGdx8mQypuej/ODv0D/wvRJ+cH9AfSdf4V1NueB8c5n72ZpiD
hQtz7O+cHRDbfz49TBf+HTN5TioTMicWtZ+/3CyWe1k2Kq3Aln8ajptUgUt6Nq50Aq69CKYWwuyy
TLtyNw926/l633VH0yVyYydbpuiBQFTm0TQOhYXHxKIj6/NkDDvvC7vY+Hq2bciTq8YeNx2JR5Ol
izy+VPo+QkZjhhJFLQphA6tzRInX8PUSsaZjKhNyr2h6/dT1a3das1ZcaXh9I0eR8jHWFYNCF3lf
1Hlqk0UCRf89K8alOqit19JDLKrzCjnYrqiWaPT8mqElMJDGyzGd0saMojqkjky/KpqWfJnhfFyy
cXU+4o7IxtBTPPMCujpTN83p1dF3NmIFsqFEj7AuWzcQFoszJ0B2TTj6cDnNPeOEOJOIaGKcM/Uw
LRGbTGpUJ8mmwOJNCZaFfAelsxEVlKW3+KjLVX8qLOPR7XibidTIeQhdqKfKTkZySMF86fqGQ8Ha
5ZupqQEv8Mob4D82+gNZ3qqyqBmZut21iJFkIjDKq5PlUKZlroyDfBbODoi/ilHLLS8rR0tgwzj2
TGJ6TqBCUFnqM9ua4WKszY89PsB7re8rd+8Sg1GE4EATzmAoDnsUWcbTUuT6LiOCZV82SYZmQcbx
JVvoNFwNNQ9KlNWX5BD3d45du1lk27F1MtAjsMe3q8gstTtnukHkX7HINdu9mag35jhuss5aN640
pR9fkNkkj11pLNfkxGHlK+0IQBWQtzIHaC+Gcs8atDihdIgvKDerW0sdzMvc1J/TeUN61WqOTHtc
wXUn8f06Wm1kK1Z5mFW2qrU2BHmeZXfx2KrXo9I7YbyYM8qZep8DmY5Kky5AjGodxpKqgSlQjdYZ
h8JutMv8mzfPX1CSKLsanxnyi6HQ7rjIsQIsJHSRtlD6svCMSHOtOcyBydErW7c1Vxvyee+MgAwc
r9vaoSL6jxJ7GewNR9kJ3dZ8CzDhAbkLzvMRrafGSPpUTEL5aCJbPjaFaO+somkuV1B9J3Kv2hBx
8Bp1GmLcAhnOlTG1XDdctvDbuPHsGyxa/lihvsgwieQBakIrwpy+3K1oaXzCn1A67m2zXBPt0Y0Z
sO96T5tpxywSzGxcDbNIhHs32+AtmmDFsofFTOcOdW/Rs1umb7W50J4wnSVZpFpZekZV4NwOrojF
82JK7oDADwpjV3k1KU2IeVcef4L54a76s2c0NYyBDE9P0NFLdYjoa+K2Fg+M+XHednKs5iWioSVT
CbrZd7XSTfdTmprzPXKBEX8SQWmZcZUbRAO9IDftZBWiy60cybxus1A2KPrDqYc3E3KZJckLRPWk
CDKhpXw+Sl1yeTIAA3qDUiYh4zpdtm50xqwa0qi5boRJd8iTAyZI82WsyUX4Ql66ltsvvEfeOPnF
pqFB7mmQvVLF+WDwC3anI044sMK+UCE/PlT5iGdcbQ3dDvSh02O+WNoS/XOnroZ0WP/iTg09YgNx
/vmd+vxa9a/9+/L+tx/5fXBufrAYTjtUuvABoO+9H5yzOLNMHXzCBjkHIPHHPZo76e+bNNIN0JBC
xmSUjxfV/FuDcrizP9+T6RVYq0NF1aAfuvq/me/bmBlAliw2sYJYkmGEOgyObW1eZ1ZdvdKQncZS
icIfP7SBPKyuVg0JJTjnzgsl0lvtvoBxQExj35N4vkSKXDozPpBSxghrNCa24U5byOYKRAmFy67s
Jg6+q0Flwr34TGZmBN0c2SA70Y+X9sVktv0XqEW3g5k6nGXonFF82w6pfJ637sDHhQjF2Cq5Umoo
dAUOpNbTKrXFg6tncq8jRFUvmNcVVpD1asdRDkWgPxAOPLY3mRLngHjIn+8LaYig69tRC7puypqz
XXWE2tSr95F7nlnzEKsto8UjE27fOA7SfwPbQGTUqXtNKpH90jLGDRWvnj+lSDhvpDU4SPJXi2Bw
QVYY3jiGWrUhFNcfaqXZ5yDRjhn2nU92b7Uf9R7JHYliqfel9twvxbJeuahpv0earkdyTePLabSN
6xR0+mHr8qIhM7xg2SSMeEq99nbMKmwN6rqqRMKxmGMy4WBJq8catjLM3dUHXzUdKkWWN6B7+qdF
lPFR79Z5L6Wz3nq9vp4UL2PMsaZAHyBjK+mB4V/6xvVg3WY5w51oqnXlWpTcquEXdoe+XrSLOR6q
B8FwYo8OgXAMaTrBBLqhDkwaiUuTweezwuTeRHaMe6M2KdPw1NUM3BznOGFIPReoLKcwHRn/ano1
RvhPcEYzd9oZsyGJfCDDIljhRn1SMKLuCBRU9m3ayiM7UvlFLXXnKHqtuUe2G1/hz6wvagUZxZ4x
9nq9jNKeNG23TIAqGZP8/uuQ6+YkLhWmS80YpGrp4AVtJ8+suhP7kmSuTmXczwWLliFuM2+nd8qd
q2ibChELXD8z+6VmVL/8c6L+LycqwXUGp9ufn6jXIv1ZHfTjB347T783NiYpoozg6XDobP7oecwP
9EKaht6AEYv2XTj0+7xEIyKGxoaVIzHWW0P0x/nqfjCQBVHcc4PcVAx/Sx2kbQORdzMGFpPAYIio
Jsic0cvWQf00z4CXiz+usqzjtBCaGXI85Xe4ruMTd4cpAFPTU5tkcsfOSe60eYlPbjE0L6wylker
cpsX0876Z9Wo+ucNb/fjNv5l+b//nEezae1+eXbcbrwtQ5u7Cfe2n5+dRykfa7h/jtlk1q+WMJeb
VhXVxjOlhmpT7DFeo7J/aYh49N99iv9h0gOW5pdHZ45lcaPb9shblsb39Nb3wyTcqZSJaXuMk/hj
2eJ3gE6bepe519U2AlXLudBVt7J5m2znvJhe+gjYKv20yEq+OWgygQPK1ThBHuyj3B6L/VB0Yx51
GGhusWI1a7CMjnWM53K40Bqj2bFdNH3ZjbGfLSWTbXPqybrRVwIdHY3Bqgo0dDsxHYcSTqKvdkeh
tL4x2GwhM1t/SdwKwH2fITHt3frs4L+IuroY70h8qXY1cIPJVwbDzXcJ+FMRQAbIAiM11Wel65TI
zZ2HESkwMTsSax5mxKa66swFIKpQ5snvamM6QBOhl1Jwh+LIHdFnOahL0NizrmlEJciuWtaPVeaW
SJKpoS+sOWNN1q3DMx2g0/upWnBUqZrA+sMHYB9cI193eK7sPUEcxNmaOvMkpo/tnTcq2a3ap7Th
GV7Yl4JhEI5VR+1CV2DJhJ7XpbvJWOC74yqw75bYTTDqta1doBsTw4M21iKqBmcej55LUFZY6dVw
t6TAMAO8eX3MXIrmvSQzy6VmHYAq+5bd0H6zlTfO1bK5DZMEcLCfC2/0s06afKyZYh64gegKNzG7
82fL+uhkqxsJy65u8qpbdn3S6h0dMhmwZgcQ1U+gG+/ULOtAO9Axr4Wu7KXuJm+t0KddrqY7b5im
kG+qd4QTX95JfZ2+s++zk8zcLHS5eb8KZ2gOslRl5EEHP6xpV7OD0wc8J06mr3bAkgQQCYEE/d5l
bHeOMYmdPOKcnoxMHw9YPRjbF2iZv5ooY65JowEPnVZO+ZV0gLz2ddkaLJBTuCqelrRM/CZpGb7t
dCQC8927F9/bjPFHz5GRwjffa12ZYmZsnQrOSWzEbQIBOq40322G/K3KRJxSX3TZXlfr+S3PJ2gj
Uy5KFEMNCjz1sm+9Ln1lAFg0B6+aTP2677v4JEdpHAvVyKaP9pImHiZ1vX4lBnGAceKNC9YErVWG
L1U8Zsj4vYHwCXtgzxGBnwaMwWR0vZzI8FhR+DmDFo2TItP71ajX9bBOLbJCBfpO7NdVVyYhpu+k
+WR6uFeYOCIx8D0iOkFkzLl6kG0iuBUM1UUnNhpJyzbxFVuQcdRAOW7qe7U+rnmf36GK2g5DwevP
ZVpdZxLIDryhdmMXejxat702+lHrvoulNket1cdsDyezfx5SDJV+l048e1bF8tDWizyk4BWhIFr1
CxQfD4eLNTVTKGa+yBHTGKqiUV3Gz2rG7u0ySyl+r7x4NsagQUT22vUFC3NMWRLmPEc5ugneJzMb
dao1jKW81mG6WlJdPhW9oTCAALQp836/xHpcyJA7gba+WuPYqc0JQJjKL3nibbKPYiUqlGGSJufp
Y5UsRYqFBtbx67gOVIBrJ/szSYP2VUsZNIVTTWjBbh6HNPNNbPB7qKXF9VqJiUV+nTIehoC93NKc
6td4r/hiIXMrrjurwJaBAQMkibtCllhqZ9B9FXNDeVFi18AMzzPg2i0bE5Au8oUrrAdL5rNCi8cQ
epHzSZmqGXpF2uVeUCSy0sLatVcwd4L8IfQrzvxSa1g7hb168JrsrPZjZIXHREdEls99/bnXhkdj
me3jBPrH2muDN9+OkOaLUMnNeNq7sH9MAB8p7FZ8dnFgWrgztVHNL4UxxbhSlbW6EGxAH/R8XGwG
OCPGhamyM2plTezqOY8yvWaKXzCYuDCLrD7HYhIXoyO73mcbVxyX1m0YXCyddjaUYjgCe8dhxwWk
wJPgdfGSvRXvS1tQt7elo2/mxN5F4KMjBFwHp1r3Faw5Tr8Jhz19v0wCwD7mbok58HtGoM//FI7/
S+FoEQP9ruL4N2158EoCHN7cnyfmP37q910bIlbqMlY/W2wWGu53zbhufjDZRW05CN/zWqgrfy8e
N30rBQtXJ7GA+lYh/qs5J1/Q4C8kDNQFAQgI8O8MzH8JL8LrSf6czpzcdgzErrr5y7ZtkAYgknFc
rriiiA6bsX/RTML5DnJqgltGjespWybEHqqaDy+czNNjbvYoMHqvan9cZ39aK/4b2vA7FpD1JgYO
FVuJzTvyfjVHnnKTe2IkMrOttKskl+QAj05NWbJMA9jtaTbHFwfhHALS0h3aAJInlzxUcMfEMuZU
b94wqNf8HQI3Z1Foj9APXZQgthV/1YCSL7t3n/d/qDA3YeP78nZ7/0zE8dAoUdOrBEj/8oy3CFio
ucMV2P0kCe1FFo8T0kBjNzhrzVRyXbQsZMjgUmQRKeuvuWrsEcytGhyEengTS99rQao0Vgh/pcYC
XAqSx53OyuFx15m4yUdwKrh6+xASkPfUi/aMPt9aopSRxiVTgKn8sST708/B+bcXhbRRJeGVzgX1
5fcX/a5qdlYF125T9Feka3lPdULb4Zv5NsBsqnG5mZfOu29irfj439/MXxoZoInOJuk2iGpTt39t
T+vdwyJdTky64+qqcqV2BUZ9vOLcB0wfi6f//ki/NCXfHwkVKI4d3FUIoH+5zpoKDG+LHeEKVYX5
ilS7K/ZMqVbdzxsRqS2E78BQVwJvMwPt1F9dNL8sqXj4LWncIv/RpCOia/v5heIlSfEKgSly2twi
j220XvNiew6WLPsIZUftryof/X4u2hkCVV47X7HNE8vgrebFwgxMDQxSuoESgJV7BJWiG6Fw1/Vr
o0xNqDKJAaYPd6o7YG2R41+0Vb92nNvzx++ka5usgGm9yZn2/oNSGbzTb8bKpTbG5WvaESPla0o+
VCbDKyKvTrNI88+J6wEYky3Ea5xsaaBrk/NtcKRk4CISBm51Nn1NO8N5m6xGOH+RWw8I9ZerGEcO
DSEhqPTHbN+drTd8dznZnZuqQM+Ny8wEjuu5IatmuV9AQXq7YRrxo8DouUU3aY1ESQoHWkO173Vq
msJsiB+jYrlriDxdCHuek+c5K6kOe9yEjdU2j8Ch3JBFehwgvGWcBiKA0X6c9dXV3Cg97mGMpkmi
eZmPzR0LnD6J8mDZKNX0LLlJgEItTNud9ooR0MOgl4oR2hMreS1ddc4Gc5TSV2c3uyiE5b7EKsgS
wbT2QuL5Q+aqCmT5NOLpUXE7HMHz6spQmy0llNnypenb4X6EIY1dumRgGDOBPBKhqT+0Qpvzfewo
WupLkcefmd12cDuqVvk0lsDjGpgjRyDpzVFrveItnRqb771R5vcpSdyOP2GYPHVxNwYr7wMWVt27
BpKzRBg1252mLdoUFbRAUKpmEjKCifVnVPZGBwrEY6sHHS3EszAcuNXocwDp30YW4BQfl1IVZ73z
mnsLDMN+RDGqQ5Eu5atr1x1V8kLli8Iy2SnsNV/hyczf4H5iZ5LQ98ZNVTwlu2XIar4c8xytyTS6
u66ORVgMRnmo+KNoFE2EU/YENs7P+ixTgAEgYnVqa6HLG4o4MAalKvednUeJCUP3djY0E2daByIy
40oadsYwe1TWhrNc2NigihjybzuUJdPNjfD0xraIiu6ln5Vlc8x7HUd5/UVfy2wg2nocxrFRr4Z8
AKQJkaGVe5ihQwx8MYW/l+lFfa8SGXjMVoPyf+QziKEQqWxX4YG4RJGgOxMQ7POZTWA+J2rQkSEf
X4tWtcHp5aszixBphjcQyT0YXFFzXGv9HIzcC3e2IrL4euKrYycBhShmd80gI3BXFWnnkc7NzQtS
PUge+iqPaZi/xoDLg7rH/RHQPs/xbi6cooz6mKpgtyluZeBKixOz0nNQdqXolAJG35r0NyAgAILX
Sep+U8bJSTFo1PoAcdId3SsL7FV8qgxncCwWt0vfyvXQ48fpIDQlwoHp3k+y3XldX6W7tbDL9aD2
fdkElo7rPXAWay32HYkuSsDHyii4KaUWwkDJy5B/VOUaJpACAnCoqueMBXV5NOgwiygXg30nx8GA
KAc/QjuLWSAL3aRwYkBiMzXVPTdjAx8KYPPd2PAMonqgNmfft0hcuNnazJelSwcYKXxVOnCk2oj6
zbKKMIkx2oUO+F9E2w5rcpSPJO59xVnt2UCDBoBKZFuJ9ogRxjzgU81Zo+V5a4RpncahHOOcZnTu
Go/wmzkzme60mcR9n0nlrMaFudOaGGyeIzyniTQSO+ujSLU5iXLPFGTp8ed8zcOzz+WTQHJe5hTS
CZAe5VOHSR0lasr3SL/SJEGfiHImUzEeEPDo45XdeGuNSrwdLq0Rv98+wbDLD3iQY4wdSURa9QL+
pxKnlnQWZiSzJdMzYWjDg4kH+NVaYtpjV+PiJZUBuGvU2zLlybM5BYJrkAKHlSqOMOq1L8U8U1lk
yAnu8SrPn5tOGOCA5iRmjGWhd6yQMRs7q6izZVd1k3YlYQ+atz0Z9w/aAFbHn7E2usFAgs0SkfuR
pYdu0XX4cQ6gjutUcbwntjbbxZllbY+kqBf9zbKag8v+cuazEXPFE6sBDWpn7mDeE45yru6SU5IJ
leYt9XHovVi/oTPP8zvdrZhlLmY2j5fDwirVj1GV31i5YiPmn0seuq6lhIijl4OEhuhsL3576jPn
E88LmsKVaVW8irEltsEXeY2PzMsnvjpNkeTpbUVQEROGkaog4fc4U/WhEtetZq4Y/I1GMKUQc7eM
l6UiUAqn6tjCxlId1Yh+TET4b0huvCIOEMhAW508VOUTrCBv6/6Z5JD1k3NdgFx7ReHJ01i6bL0z
hkXtzwllbnauG6DV9y53i31fqdpV6yXti6nqduuTA5Dqp9pNvJHmFnxBuHZOC9ELKvm+0XlbA3h1
65e8yK2bZexhmbREE+fPs10m/QFGWPmNLJPtDEnbQoT0Aa4RpSBY+11jl96zosblrpwbPGiOyTG3
drO4S0H9ngExZRZi+U7HWlFYJrcjoXtPXaZMSYQ/g6+JVGLDO5pVrbVfSw7k9cQIn+8GeEeukcyC
KsTCRk4RN5m5PWvdyBYbccgwcac1JpXSu80+dd7kPSgrZfpJekOnvcFyXXsSzDVnAhWp81ctpbYR
QGdQ2Ecmv+zIFCgFO1lP03C5rE5xn009th+nP5glTv6DnG3GVUDYerlviryuLyt7MS+UAUpNJNqq
nM7JOjcicK2+FA9UIv2bCrQZ9bOT9hPTy56pqjdPbstdYG3vC6h26UetloY7+RAo8/WxGQAI8pdB
vYyEAxzipMTN/FkkqoKswunt/JiCEr9deiWW+w5wXBqlcuQiTXUWfzdLXkjrqrSbjU7HXM++NDVm
9sFKddNHMzA9ONRulW4YLYf5kNv3RaQtxtKFUwGFkk1dy9WfM3B2kNRD3glibFLtM7wQ7SETHdca
dzrviWu97G8qryLSetQbj6iVUqBnWsYX3R1nDE4MGZ1HC3zdHM4IeUz4ogWJf23ce6ivE67oqEkN
Pk0ah3W5SBE21BdO1wjjBhRjYR83wReva1mU5DLvlGYOyx6mlU81Ng6XRRHz/DvCa3a9cHMB61lV
j3iL+N6vNsxu8kSF849o+X8SLVOAu7Rzf76CO9bz60+Shh8/8LukQf3Ajs3BR/9Dk/yb5NCzP3Bf
J+1DZ6IOkP6dOd80PjByoU9h58PN331nzjfVD4YNsxbHMdhXZ/upv2EURpn8S5+xCRopl/Au01I6
3AZ/7jPWchimykndk9qWYDfAKodzrud3i2Hlb2U1ySN7bDbXRHMlgGzWOL8ycN29ZJndNz7rFOWG
1AwYN6JZpxuT0JmnXOoxfiwu3S+CSWtyrFujjYO4Gg0laIHm7UZkW1G8FM7Tag0MMbvG6H36gCI+
icwt3qZptS6mdnSfxFJnHTKuzZUw0MkDj6uXMhiM+Sg8Mz1O1lREkGDa0bdxh6V+VRr2G7KQ4is2
+WNSFPIKFNjEYLs17/JYGWU4Tk38DchXeZ0o3+mpAmccMTQvEp7eqxkn0/OSMPDV1158UwwD7q6X
WJD2usW5gTjJeHZZjf4ms5LlUjqdRmJeZ67fYL4pt3WVsadypjK5mhQdoCV6AyzJvUvHMteGeaGL
LAcPAD7Z8xEgilfZYJmEn9ZH1hQLJHdGsgSGW7r73rHgQyG6K+5XTYjr0RqPFsqF5AChN9kn0nMB
t5rTXq2pLEKJD/u+FIlEcQCI3cH4IPSF4bg+IsHKK43lE+S2N9SfCwoyt3NU5KLTeLa9DkV1nLcn
ircsynrNlkyQazso2sU7d6i4oDevdoUHqHHhD9ce6Y1QdO8mp2wPySqo3BW1/ywUpOCAnUtUDJDb
mvu2mIcTs8Itm33hzfEKDKVKUxXXmhM7qu8mEsWmvdYjqZjO9LEY1dW3RwqcsyZq+j8h14V9WuJ4
J5TnMBWTcs6ioq+66wp6cAAqlYWkAeUwNOdF1L6a9sNpyEpAPrZYkht3aL5BgljHgzrIFtqua9Tf
AOkWdPuzxMiUmpIFTmfYyiFm2P8Uj0t2nAwSFIgvyoxjU9nTK2lg7o09d1NIZWHtPMXo6MCM1thp
tWcAN6WAvZZMErKnVsWOPt1ikElrbi5SGYY9u9P0Dh2buClhoGvFG5+ujqxHcDPhvV3MCuDDhQqs
v06vaITKGFJb62EMhUeumcP0MlvM/d1V0x8T9//ZO68luY202z4RFDAJd3nKu/bNdjeI7iYbJuGB
hHv6s1CSjsSmhvz1n9uJmNAoYoasKlQh8Zm91+Y16IhXycwha1iNUgOhOGoNo8t3LL3KDdp5DEvc
ocuOKdlhbIXcNJnMuL1nVC0e0DKUWLhyo14In8c3ybIZVZYREO8ox4XGdmMdD2wb69Ci7pXG0Wx9
4wJuk7sYCnEL8WDHDtU+TSXA61Gv0ezp+bhzhorrjq2ozBYdOQOr3Kv5BRJHocPMLUYHB6GylhZy
1g2xT+3BzOpsjffR3VuD35+UNYFjqzK5rVj3IAzKpuro0P0fzERltyzSRA7z0LG3TsIWVfObmyni
xpRF8kGwzZeZr+6knvzq1YVYJVj/yIpImntNwY9KwaUtmxwOQTzYxl0tJKeWl+UpKFhB3oWDhDZg
TghGKvRo/AXWZyWvLZE/+IKNdMiOaQF+Z5e04a3j5NE6K8hpYIqSL5NYB3Y0NKm3Y9uULQfpzFe7
6O91y4pWejf65O+xC8dAzaLGTMxbpwStx/Ek1yMOwT2ugmzt2D7KxVA06sL2pb6uhmQ4jZk9PVqp
EE9uhjUhkmwHhzKKDq5q3XuUdOpY9k6KfjlsOFPcgrMDG26gveuEjGONluF0NcMyGZOESLA6zkYZ
lt4ORZLYKbRNJ2CiPrDDJhw2gTmpZQtMbNkjQIbOL6vLTHXx1mVmfZS1+YpeAiAwGGs2Ntm0gA3Y
MiFB6sxtmEc3fRrJdYCzK8W9mXK1TSvhRvU033+P45GHiGcRYsWX0A5LBir5CY5hc5U0Xv+1I/lj
TWM+bbPW1Ne6V+arRLjgQBsve8LG4V1HbYhsIeTrfyKlCoSe0i7hr+RXRofRbyTp4B6RW/rR0CU9
M8cRdy78zpuqisL1aFT6Ji2Fuuim1kMVKrCcpVKTa5s9IIduFKu7WFjFwYsa69WiaN4R8NmfiIfJ
LzyjbHakBhvshm05m9MUd1U/3oVG5nho6I34Emtwe9L9oAM2mwY7PWI20CWNXEHR58hMwyvDb5Jd
jIbsWpPKBajakdwZcuavrKQ1Ke/aaDroaQmLTSbZZWymwZeIFGikyqXdvKBBw7s2aV18MuEF7hoz
qKD3GcNbRiDzcrLK6d7qLHNZBgkUyjSN0UO7VfOlCnu8/hHRHywqO/yggCv4vVXRre0o4w67jEnx
n+AkZRxEpNLYRo9lNYP5JqggUVMEITt4Tnue6MNrJKv03ooEagrlIJ7twUgucTVMzHSJ5wQDeNOq
EY53WFtG2z7pFVhkk9ypnuCTJyb0KWyfwa3jR2GbAX4eImMVTyKpe8nVVMwyt9xS2RqJZIWavRuo
lgmB/uq1nbMOJDEYpBVyBIOAM1CFzDxnEm/VFl05VMSh2sbMltb8SIM9X2W6Unme3ljliEEodw8q
1NifO9A7zkXff+05vxT9km3xs/r4SJmt3uX4XY1MXcsf+lOmNgvO/D8pVSbLlT+NOf5vjFtnJTDp
b3hR/lYl476Z57M493S0WSawq7/2jM5vlOBId22D/Cpybf5VlWx82pOxzNMp01l/YixkdfB5T2YR
M1Rj4AgPncH9ubRQzd30Rjghw8wZCJIxcej0twRi7L7Eo9svsJD6t6gN2l2Ng3drVUa11VuUC7//
4v7jrss2P9XvvDU+nI0tEOOSMGCDfF+/D409Yq/3nL3LHqK48nlsXHlAc3kPWmDLBfqju9gQmljH
BKK3oQVtoeygXvB4D756eW7cNBBCKtito5u5j1OphZfkaPYtmuLGeM7gdzv1OiW0YcOjQ/NWqZ2Y
+hX2cK/RVsJpNW83Z62uBGaXNloZoILlwIHnyvpLNHYhN7oGVxKgV1rdekGTIg9wGytbaKSkHrxa
Ae838Wezl7tHgBzVak02jnU9GY4i+5wAFkbzSBoQGafY8AmceMtgXt+SLVQgXBBkmyyhHVE4MnYb
jE2Haz09tFaBIz3G2cfkG/jxTV41Kw6FnlFc8DAEocbwdaoPVZgYW6Ws5j0GQQydyB5WKAqPRlgc
yHNu7t08Hq6ZpI1bl+SWI0EaHcRSWAC4lRAFp36CukRY4ykPI2AYieSJi3HrFvz4M8oh9ChxUxSr
SabRkxkEJcBXReqAFhbazQSNZICRPTKciLvhhODmTge6DflDxQtmtTlE3N4xwo0nNfFWN1mCSylq
FoNNWsZSERDt3OqeLG+7OMcYFnjZtQ2FOkI5WRvygodwY31JwhoIp6HFV9NUwRMOzA1z+f5+1HX8
EZGV7we0hNs0zfJN6baRXBq1o5YNBTcp3q6xG6ygxA3mA/0FTkapVxZ7quZ+aVShc8NVr46eI+dU
pFQ/hDjlDjNd7hAZOnq3INfTp7I1mvvCpUyrEA/aS6k0moMmni6t3BxODK4gZ4Nc3YigJboMvvOi
NrsZDwBUGFZB6zCp7MRmqnqW9yV7zlfJzx4gaz0sW35pyA3D/lZ3u/6SrV93tPtGrVMR+1tRRem6
1aZ8YfYxuY6EpN5iXKo3SgfXENZkd6/SOnPZDPBAHZdTJZwnm79kqQ0pcm/PV2vb741XM0zQFibs
KfGABRdVBjjDG4Z6J0rR9cuWevsZsfhEICup33tsqchbYBYjdZnOshdE4khgEGchhyFvDmkMtRMy
GdbJ42qOh54WzqyjsQfEYuiTZnXNrLMhyqGw1wPXcd+dhTiZQbxFSEV3HKKeqydUwCgPGE3SdNGG
VAeiHxg+i/esF71DIiyKn6kv8xMESUjOJdJKjGFog6xZJWSeBUP+WTwUIonvtlSIiIoo+XvyS/TY
3roS5D+Oni9+1E9vbjcN66BvxN6fVUq0b3TEKBaLS07C/rk7C5rKs7gpOwud5Fn0hHAcAVQxa6Fy
IqHUyj5LpIqzXMqalVPDWUSVMYzB5ncWV41noRWCsW5fnOVXlFV05smsyoIBgUCrm7VaTSr6G4c5
NaXQWcw15k16JbgxALd6uA0peRB+1WcRGHZ+59LhODhmkZ/GCxWkTJfbvLqNldUW6wH4wQUW7uqk
VW2BbsHCnRZ7SXFPTJCWrgwVCzZB/O8Ov1Efz9cYHdAo1hc9OPVrlJryC3Py/B69pEFpBx8lK1FW
cTxz+OI8lO9JyJqOzjNGLEsr6bBqGlPtqbToMZZDVfm3ptV78drVydsCagYvAWlu5n+rJ6s6QMTt
EdqS2oS0sLs12q7aUeivJs3R6kWI4HQHsp9ZMHJEcYz8LtmghqlZTGLgIljaiW4wtZqPRZcBIII6
C86J7LVrDO0l01rYHenSdKPmBS8WKkxhkD62rcckXQeOkq8Rhk4McjjdLlov64pFyOIWEjmiXmSL
1I1X2tBqcmV3DS+Xhm33wfnu3/pa1G8q12leHI2osmXo69MJFSBrLOaz+5ogchgdOAQ5G4Y9Ip7g
qZOdwT/40XHOc5ND9wXnQBQTvswpYnGGxYHmy67ckxHaPpXuaEZyoTdGdYD/TvUHaFcdW89xzl/b
TvNI3cHwQpNq8SE7w103kfOeWDpjWg/khKwG6yE2WvL/8LNck7jLKNfK3s2q8YkGs6V1Ba76hAmd
I8dOTyEhBu9DU+x9V2ULxwYUTzsA+lfPy3VZiuRyhIKxFXhb+AOkklzl3OiC8Aivv7QVIR6mqcwV
EWjmQsF0XmCM116SXlY3tWkNR2FXIkVeHuXPOA27985Km6MEObaqs2LYznXJW6qxoeVXaltLMbqw
oiHndN6a9V5EwEqHyJXHaX20PBYr0EMiF29rM7liprpg+e2z2rc2Y43wcjVMSn9wkrbN15VTyTfR
uiENqj+v+0MR4pVLgDGxjUtblAVe5PbYvQhc30LB6gik6PT6OW4iSYBYzdcVvWoi6a40XcjbUXfu
5BDY2yQhwnltidplr0VWzEUT9067mG1iV4HMxZ4Sq3ghuaDdtIQ7rIpW5/sK9GQsuFmS/MWySVfS
9Lj7ahJ8tmYsxIjfZTh/4VWNcWrQP3IXNRC+w6mDq0Ldhac5hRvOD8Q15Svj2OcGgNCKqT7RCH3i
lweg9BpJAb2nzTKQIQBblAZAUbQCIUUf6e0lQonxRjhGfDeknY7eoTGY/NTIqDeqaW4hFfGwRkN3
EdlFtAIdaJqnmPmvvfJRSTXLXsSkz9mZCJFOEyQDPNp975OheoM+XdLFTBpWUtH0c4HJkmidJVi+
R2NqEeRCO9xDfHCLhU9+z6lFgC3g3acgZQZtclk1JUl3Aiptl4uecwSiGYHd9pLypH40E0RRN6zN
M7FVPPRvuGsnzNf8BoK1X4BG65J61ovGCCl2pO0QVj4gpgMx4wrqryK1vLthQElQVC4racEs8OjV
EtVs5Fvl1iucNLmoo1EOS4727BKz5vBQY5O+ReLuvlSBl2wLJ8TwRUyC9i4MEue9wq3ybdXUjHOh
K+jWIjIm9LAVqtRtDL3t2ozDKAMdE/sAJNzyw891ES9TPdT3pZeQ64jaG3u7pQBqD6qKrPbooIJi
bPnftu5/IiCls5gNL/957XERN5gu6/jvbd0ff+jPtg6goW/74rze+FtX59u/uSj0oCr8HdKi/+YY
YA/YQ3hnwiEv/pepE8Qxkjf+D7o3013+zdaDKfnnrQf3OYYnJK2e5Vq0T993TbXhJBXqgugwsX6r
GJOEDjkdIgnMcVE6onvWw8xlZGkXtzERl5dTT/FbeZluLHNfJWsDNchd0soJy7c5yKsIqwPBPVpO
fe7W2EiQX7TkbiyAijCatr3Bg5oaIHBYBLJ3N2NkR8cu7YuTHvoMVQszPZUkoFzP07ttpvsRIifw
fYI5dbsMMy1YNeD1iISJ6r1kn3OhGsarEyGV2tJC7A7knyjPozvgtJQZWbyrwQ1CJlqqI7bKbHdd
TjZVcW5O52STvdLfpJyKVxgH3sUkLRKg6sFr13SvTJQ7Z9gwxib3IBhAJxmOz+0WBYW+N8Cv7RgD
au/oDqsPd747OZS9PTPn+ls4MI9irM3dG0el2iJSqW9FI/pDItnwox+F57/ECPINS7bOk5uVdwld
Cm062/zLUM/DY1NO2jvEBU4LoyzMS1be+X6Mq6cOdNpt0pvOVkZe9yUq2/bO99shW6TaVL+JwA2f
ak2ir1c2QZGOE5IVPOVsUSGcY+NAzbAwAafuI4arLg9eo36tRnYwS1P0j9jgiC5VefrGzKzd+VPc
bmCpxe+TrtITYrwrlOr2QdYtIZ/BNB3LIO0gNrjNxh28BpoajnoYt6Mya77PUD6hYWH8yVVS/G0g
NgAZWulxZPOxrIvM4YMSUojjIFAnoEHaLiEEZztUQXpf5CJ6lG1MK9bnpcXgbCAJJnPsxCAe1dZp
MU10T2y9B7mvUNtdKOFPwPwKfS6QDMKoIggaFF/zCrtvckRkkwWej9y6/iPGh8MKYLBy1mXpvM5P
ohxoH6NnUY3uKcTSs7JZmSzMGVNRtlpyMjXLGJeShkJbFFQZIwi2MnwI3Ml0Fr4KxVs19BgyZGkT
fpRiKS5KPdtN5cQmvXNJNy48RNFTZvs3YUBLxIN2XUZZt2REgDnLvoxJVnrPXUvudRzHPJQJCIEW
oMYt25HhOE2t02wSWKHMBJLgScucUDsElVkla9pk42vV6w1SSL1nK8WIM1h3ozSeWwRo+TLMK3Vj
qLx6qUfif/ySdk7WpNxTQbfjbdO7DO6FhctiUXt+sUPNgVQB7IWY57EEsqjAsB7oUqNjhXTxTTkV
VmemKmO4dOsp3bHC814SV3cvGEGM+n7wpX/P2qzQlmPiso0RLNpS8haaYuNFefZqh5H/pY7Fm6b3
JVa+2kKO6ozf7LIeUacjMcznzL78KQkVCuu0TlqXLyuvn3kkI6QZAWWSP1EQJat1VJ4tuv4T2z4y
Hdr6BuyiDx8z5n6udbJY2PWJtUfmIt44tpFTx+phEGW8EhHd7dS31UEWBimQegMNyWIHy3UQPLMJ
yEoWtTW6Sw2f45YAovjW7DR7W8Q6Qx7NbwOxFm6tP5u409aT4DDtTJ0JvY9CONliFkv3TLerSxwq
5PT4hQWTmTBBLqybJY8yTljfVQb7XA6zQOF0HHKPZUFfvnTuCDlVaF6DAMcHwmHrY3Mlmlp7L8gJ
JmLJSLrrsRo1Dpcp8heFlpBH6eMb3VDnVy9OP5LuS6rd8yhy48Jq4iBbt32DV8+yRyCUPvveq2j0
A9LwzBLZXdQH+8jUehNIYgm/hmW4J/3+SP8VL7NUkgrC+FjMc2RSONIbZO3pCnRHsIeHGa4LA4wK
YTn3YW6rLQRSzH3nATU5eQyrUbjkSzx2zrqaZ9nTeazdzRPuYp516+exdzpPwAfdmPeyIq0cZuOi
7sv4cToPzUdXEIT45JHvzfgD0O48XVfnUXswBEDpGUddGQk6R3Ru9a2TpfotLt6Q4FYyYFxPTvsu
7B9s6JG3FYykW2U0AVamOAke+trJnyyt9lCjunl/iMZQPmAvZWjR9NxWXlzm17i9smv8wbBZw4yt
YyzFpY8YZllAv0SgVJO+a/C0Ww7ZGF8qkyy3ynMrIjGbjMLQ13m7jtQ2BnGD3aJJAWZRf5v4lurG
oYDl7U9DazKfIJyOmrgN7oRXO/uEif49kTkeCi7W5N+s2cJOfilu9nY2to+zxZ1pIWb32fYe8sHf
y9kK34+1jW6aZc0wG+Xl2TM/IXDehUY6bhJB0zUYrVpXbaDW8uy4V7P53mwn7PNMFpesnK+rVNUg
VjDqB2fPPhFzwW0/BfvCScwLUrjJ5Mpni/84m/3D2fY/X8/7ekYB+MlU7zguXBjGtXaFNghmAEI/
+yb1p+grAot4Fw9aT+5INdAoQtEZD+OMHzBl3W/90ff3nQGcgNzi7LozABZwP8EuyGeMAfh0iAbN
mW4wnUEHZ+aBmvEH/ZmE0MxQBBwmBv5QQAlJlYorNcMTJtcf9g0PxniBnPkyh7Ggz7AF48xdsBsQ
DPEMY9BBJ+2bGdCQn1kNZHnDbYjqmeEgUsvGb6C7TFsTeR3MsAd6Z5AureE8A2T0rswRuVOLxjdf
EIIFK2LqUV6u69o0i7scmkRs5sgmu8iLymPFvhence6Z0bLLev85noEUeNub6to5cyos16+0xeQQ
1cJAjqXeyXTamOfY75ALRhAQL3jwc+WLGYRRQ8QYYAKOG2vGZJS+4y6jHDLMMoGiMUG1So5QbZts
p1oterJLy45fTYdbHBmi1O113U91CAWO/fbkXKASx9CzLZA76urAT9as5cHFRqc1r1UwPVP2Do+A
3fP3pBvMB79V7j2T0vIAyvq+IvlrnVlVtmcrh6tadRng7BnpPqE/UR8ijl6T1nl2sXq/WcWcAMZ6
GGOcjXfI15Kd43rpdWWk615k2okvxwQ/XMp9Ltvqw5qw8xEfVknCnyvLQ9mv4nRXF2N7gxcEOLEC
xccIsCYv9d5zFF3mZE430US9A4GjtzPtd7/Ff5div1iKmaBqEFP9pHt6bZrX90g139q2+a6F+v1P
/tFCOf5vMOvoe1ybPoYlF8upP3Zj7lkmhiyb1ZQz83Cw4vzlwQNSagnUoTZmNFh3/6+XEsZvgDBh
5PyFffgXCrJPtif+asMF3WixmePFdJ+e7e8+FR/0gCZLrdwBH/lATutvNa/guefp/e8/pP+86/q+
Zzu/kkkXiLcLV9cPxPoU7YeYBoNXMhleZHpJEkpBgGEQqV9t1f7hlXgNvCM0riB1P9kKGc4GE7dU
uWt7idFb6VdNx+bFqaZfOLn+4eJ5QIVoRHk5ndf6/uJ1bmpAZJ9KWPDyA8HxB7qAj4T//tvv6h98
fv/8MjPm38X09MN31DoRfaI9lLtA64EIeihmmHrCKB/i/8Wlm01pkAzxLHk0899/opCiXxQRn6ij
HTwNuoI8X5jeqc6TX3yo+W/6O5qDH56HKxWnHZCSWSP5/SuhsPM0NhTlLurB2ztqvB3D4cHQxoey
Iybx51fwkxtr/u15AAkRzuLr9MEmfv9iGuly3JsFcICqIZy+yepd4lX49rX4VffAtseithb0xu2/
/ynO5A8b5ArgWhxr378wbjqkS1Fe7ojDJSm7ho1g+5p80BL+7eefcb5gP1xQYITAYLBicld//1KT
StQYE46301RV7zJVkrtq6sHdz1/ln36Lzt9e5ZN7kKQ90WkKzAKKIxvD1PDAMz4/nFOX/v9e6dOl
68FwF13OK0WpGvG2Jq9ToYGb+/Xtpf/4oZhIeVhl0TAIkxbq+0vH6MP2yE7LdmVnFiuAMNocVd8O
1xM8v7VPhsvK8GuDtatt73SKRcR7GJatSuSHrrIdh+AHNPneEOLrg2v37kYxZUESWOwVdIM4cfkx
oi7eh5PRXZQu1JC6nIi6Mn2St+m0yaeIaG50SesCDws8/VBlN2Ptm4/SNYu9HSTBC7axkWn/YO9o
26G0jLm/7dFdzTkC+KmakWn7Qs7E/64Kxb5tCftUMs3Xrenmd0wBxEH3p/6dVFR/a7QO790xeJVE
FMfeazrgo64XFejZUsQQkslU3PB+YE6I1ww5+0p2bbkp/LC8Cs2pWLW2sJEoWsFM9VQpHrHKav2t
E9TlptID7A4ogFdgGrRlhqdiPWUcXFnitku3zU22rBwuURjna3R+aklksDGHARTAR3zDOghGb1to
KcXR0Ik79ojQ2Hp+hmUu1c3HMOrs4xASHhF6Rfrg9DJmFm2Vz5WTmY8Bnx22eG+Uz2WGl5H31AUp
fP3SbxnOj9zrA4jieKEhDHxoes8+elqT3Wha3L4EXJpjlFTllaOSD93gO1WgcR4zL/4Ymj64AxVa
7ElO4t0zXz0CYinkpmY+Nc9nWA1cJ7Ez3CZDLPac6O0S/Hm87UKSPSkD4miRmio/xKHFSFEgcboM
LayJiRPmHyzWsB4XCRdRpXYO2LD3sG7PP/u0CcWBqGPvFDlcMkpXPqYCvgOlZlxmVUk5OJl8pNCN
5QvZ8DxisRaDzo9m61PLxmBZTLWTbuOcBp9pRVf6dMxBR15oiWvDNDq8TDn4UdbYel6ftCKeHj0w
JvdDLrMPNorFgc84QsPh5NRBCe1EYuDQZkdybzHLT5Y20wryMIWNKBYXfEcUBBiiU426eQFpgK+g
DQbsZYNZhiyDQqkhpHZwlVfYIkuhT9qyEzziyLL2mD2WnVpAzy2jh5ZOsdsyBkxe/Z6FDcaN7oJt
CiOx2O/SbdMFw22PbeZpIkVia5dkMmx6rTbjTUI3MK0B4EgE4IgMUJgO0nibfPwt5sS9Jci0NVZ4
2psvJEWXz2Ei7KM7ppyhQ8GbrZVmHYjoI8JWYGVbknAvDjYhUC9VaOYHpCj5uh4AZMo6+WBb7Z9Y
0VoH3oixMcJsXGljg4skypwIqAA6TQQiPkNdviFl8ehDVZ8uI6/2VnbkB3dJh9VrFZVD9C0vfXuX
S6dDeBc5LFsN9VQ2I3qkrGB+4it+CBN+mAOrqY8mmDFv2HmWUL+3fh1+g2HjrqJmuMsrc9cW3Ruo
kphIesdcq6B0aNQ89yZS3JQGvdZ6nllcdG3trwnAASXFvm1hlq58RDg5HbGAbrLJnWW0Q9nSUkOq
YRuE99hqU37UnIrIDNMSgb9KGClTVG4qjbteKgRDHZL9hdUk43rCprjL+rbbGvNztxR8bpxzr+AE
vCuvT+zXdGi8G6trjUtSMIz7BJ3QYVD8oiQH6ovyCWfRU2yCXc7Htxt0wwsosKQs5Kp/b7Q6ZYfe
cOZEQno3hlNXZO6kr7bNQVnXnB9OpLk3xE1LxqP1uApYYzGbspR3ExSyPhm94iQ7V1rKr6ttqmfA
W0e8uhkMnhVDqWKFR77exTNIlwC0/j2yc2TmKYgmsGb8gsGY1XF6ZZVtsYl6y+NLyMqrpprr6sIs
jin8ck7yKkImkxkC2AVXJybdeZWh5YSswKmLif25lZ7xTe85rbr5N2LrgAlk0MaXiT2Em25EGOH2
VBKAYVr7MgntTSNAJndFjTQFKfYW/cOMFXaKL/HAFZpcgjYG3SVDSJstuXzDLPj1uiatiFFHR5zs
0nPy/BBMKrtpFGePFnJ6YPxf50CXuOZsLzcWC3vyjEHPWoGpv/kGsipmitSjhSLMrUl3AG1ZW0SF
v83ICL4gV/PKiq3uSUuS5mocADyDdn6Mdat/9OToAeUpYqCGBi41P57WecSCuNTq4DqVz25VZ6vY
ij6KkIWIaOMv3M8PdaeHO9MrtHUUZtWy1a2SqN/GZNk5Ei/kMJjFabEwXR560udpqMVR+lDlnLx1
zomjZ55xH+ssKJYTX2n5+yHriKbcIL4zNvReALsI2GIeJHLGzOmgdplpi3qbM6o0jajsF1gz4XKh
UOMwS2jyKn4iiZ8twULTz/dMPQFYsbTIZZ1h6yLtBr1ZacXZwgqrVl/YAVr5RZmZX5rMzA40/ATr
uS2wtsJT1QGpgIIhno1mitd/KFznOPbmkDET09Oa8y9z++C2QhbVr3SZRNpWxF0WHZjHMZoEZhR0
3kF0gHYXCD/Yoy2pxWvF/Niv3Y9mTCKsmDA4vzHzn53/obsnGLM0lv2I65nqxkbB3gyc66OHDTde
tnXbXhPbydY8EcpHYubBKm5ZfAEet5TBKKQxmhdPAmtZFkN61ycWkcClwSZnLq4FUyp37A55mshV
XOpvOLF3ZZIAKRjREwpbizYmZpIVB0d3g8IJxoOVz4lNLmoFsG7jlvvUZBOXNEjYUQTszEq1a3Yu
rxJP6drtTbk29cJbsZw2nhChD5fs9gtjMYS1vsqFqRCdpNZ0ye0avoepa6iFNBoobO5AcEiqaXvM
Bbq3cRmJSoKOOb5FSHVCt4QstBc+WPaSD7yTqseS7o12t/152TuvaL+v44E90vvrLF4hSKB//b4Y
baYJ63+jp7uKB+jKMXt0OqFCUcaYiFOO0vJytDRCoE2Y19uZJQgiy7SPLZHH8QLkwy8atU+7VoKM
eT9MCAyXCQXN7udGLTQRyXCE7urMeFCEO9SSM7V349ccLmAw8pj7+RWYq+3vGhksoDOwCCwY9Tgs
4E8XQHR2FvZluusqijDYbPC7cx7HeR4VRw330v7nr/eZKDJ/QgO6JuNyaMEWFuvvXxDaXi6FI1MO
lIoZLqdEAXMhB2aS1NlrqyHjkE1EPWh7/fX5sdMXqFu3kdkbm8hINXwnqf1aTFW3HRqe6z9/f+fQ
kc8XhFW+ZTsgeJkkfWpPyiEuNE8ouYsI/zyorsk+Cgvh66JnG6JnKHsottM05UaKEqO9nPV/Cwg2
5VVpUGiTNvBKKZMfPBOS/2jSeTasAjLUmco+CjP2TzlxnifpNP4aMRqW31YF9i4MOJUtQokKVkRZ
cEdcqXi1HIHD1ucfW5ix7s0YYJ9eBCAfHvQ4Tl7OT8U8J/B72U+zG+fn18KYv4sfrgUVJeAqBzfN
53TtEAREwtNL7lonod7WmgK0QBIue0s8VbGr7TTKxoWXROaGhCHw73X7K7bLD+8AETnIU340JsbL
z4rtFhOEU0IQ2Pn021sbIfCxFP2vjoEfJhaI3xlUEMhO+iTm00/fuYpVFzjkme0wIEJPZHOyzIk4
XpJiR5/hyIJlfELzEEmK3p9fY/PHa0yJggYNwICBgOpzO8xqRHR12kc7xExhAKa48E9aEPgvmaI0
bpgyj1e+ZgM3EOOD9MfqA4AUeYVjh+OoLYDkz+ctqwWWLnjrw7aknET/t6P+9k9JkTdfqwAl/l4L
GhrX87v/77z6F/NqaCg8Kf7zuPr/1PJHdPv5z/yl9XFo2LF/+cIxf881/WNQ7RO8gkYEk4Zgio2P
gmfAH4Nqi6BU/ghsT/zHgFtmPdCfoh9yzRH/cq76bHTOM+x/M6j2Pj0YUQ7xHxKWXcNAHs/E/Ptj
GjC2CRpJib2deh4aEa27rHMaiSmIhgM0AqpHrUjGZdH341e7aNyTLcWc7kiNflsUClYjfcEr/Bid
Nb/wLwG8WfcO/CRuqNLJV2Ej3EsW/c3tmHTxPRaJdCvxzu2z0DFeijLw1mniJpyjDj/2pnojVCPB
UubV7GkSwGSLRpVwu0v62jgIHWYcgzTv2HnJg09/cAxcK93iVVhYQ5tfoDCMqUaCbKUllG303xA6
4oyyItMcAhS10D0gpUfAR5zEFYmbKeAGD4hpE3ZU/s5g3gya8i9p+PULY4z1i9EatY44UavaYFpP
t9hPw6eZxUIaiLw2BkddBKZxP+nUWIYTsCeuBMIovSqtD9hZM64JAqyHEdVcUrK215hd2ewmgFQs
gawdtWSstnaql19xjFUbq0auUsWAWnhkyi+VSAB0DGDNt2U2JDu/adsVEvZspbujsWwxMj8WXhxc
tSqCfs984d0fe1i/tbJuQunh1huT+tKxYHjaDhdHN2ngqwCHpD442EYsNdD2hawAu7TDlSv5GCH+
YiFzqoX8TCsT6qvmWwsgpmSc+uWRzSTsKY22OybIUyI+XjV2cJHJMgNepe0JVpSrsCqmRw69altV
nf0R+ujim6SNj61Duh6BZCDlsyi7NiYEM9iHE8l2Ha3/2poS7JtiTB7CMfZpVpyMgD6nPNBg93dl
11f3PnXvxaQ7+gUPa5DFqrZiJlSCPEWlp3eiEOU2wyfks/Er9J2NrT5ZyNSybibUwBchQdib0XXx
wWil595C5MAyxwzGo0axupPTx/o17b57KOjiWIlOIn2fLbyXgeOku3FQ1tFBxkHIjBM/K8+Nn6oy
Mi7zsLRvMrS/uyEah0sIHdaRjXaxqzGoX7WiaO4TWKDoAJp0n2mKDjdAEOHntndpVqX5nGMSuWDQ
CNPDYEqbJKnICLhuGLyIyL5Ky/5oRr3g58g4WtPbNXRc0tqVh9NnZASzNsvAfa2s/ptdDRkqE57b
GINscAOBoAErqVXc3HywhHwfe1z8yEyF+ex6+X3RWdND05TjdtJz/aaIsPMuBsyoBwoCHeoVNd5l
xJ6dXkZzqld4JMk1Sujq/7J3HstxJOmWfpWxWU+UuYfwiFjcTWoNTQDchIEgGVp66KefL8iuO93V
Zren921ltQOYiRTuvzjnO9nKtix8rIEX7Qn4pGOf4+wFVFvOHNNotoJ26JyEvImDZcVHpnAwk+ws
f3It3X5jK9c3qzaVz1xygF0HdcJGsC8KT9FFujmWADqbB0vK7NEJsoMiGuakgrk42inNs64YGXYc
loAs/RjHcB7sppiwW1e3TByKMXmstLB/zCNhzBYN3XpGkrtKKid9c4UxvrhFZTxUZl4CKa5w3zcR
way1ktW9ATB6yFR9rpveS9a+v3Pw0O/B/IsrI/tsX2cPfcCszwiYCabKkg+JCK1DQQyHXmMF72+F
6JtPq514JrbYDGJ096Uc4BplsqPLdi3vrXUnwjArUpJgIbhTuS3mKbybdZnusQywgCZiHpBdPyrU
CgY8XZRi266YNbYOpEjehozQl3CeIP5mqV9h2wlrjjlNMLpfNeIcYli9kgFMmK803hK0Ex7obEh2
aMswriPaWvt07+vMiF9T4grQBGqxLQUTEDNJy28Zi7JzUEb+g5PjqNNElRIhFBrtQ7wYGly3WDtF
pT9U4o77RDjevdAqb8mKt8St9xA0ejiis5XpZYodf+l/YdwhbkxYo1f0VPEln3tGq606cCPOKMN0
f2MsG/NRGpKLTgjHagn2uVAmNfctHoNrIob6ixHE2U2neYXASIc7VobhZoZnyfCqtl5TsE0HBQp1
2wQe86IRceXsht11cPzqw7bq5XLpZvuN+Kz4pWVMm61UnPqMYfxwj40iJc8jBP8jg+heSkZx8O6X
QKJ6xIvGS19EzryZprba6tH0zh60wmQzZmV0Z7nY+qxU4u0zMCrwzjIqn0Kr2+OZa4+pP1cvWRfs
Y0kkGOiQ+T5FhL5lP4eCcWoFiVedAXYRjsZO1WV/k31o4h1jNDrUZrpB6umtesl1G/MVPyNUqg7Q
HcdyReqo/54qFW/yYhBv5MYSqOLGEd4Bkw5FOfess4zPynbFqWo9Y5eHrr6TcZEdHea1O2WH+iGb
Bu8lHDwYyaIWTxFkaR7ODdDsTYZCK+I2N9R43wo9T3jpO47/rmln4sJGmxmRNUimFjQv5B6enULg
V1sVDYMyWMe/dBSyINiWEy0WDx6YQu7+JAmfO4dCBEtinU3rgsjChzqss0PJsIuql3Ep7m7dDODc
Aq/+6S/Kjn7ReNhkomInyLfEJyIBwiR/aJGEOIs2hLMWmQjcoe5binTEQUIikJKQw/ruIS0p5IzE
fh4qHg/dSbMoUBqkKOaiSYFd6TK5S80vKUnXn7Qu4yvy1nfvt54FTWuLugVexKJ1qdDmoHzJfutg
KLVgYq+AzCGRic2ytbdAtCPc8thTumHsvPu6rSf1plXws4sxCB2yniH7uwGXBEpFPwNrL8W+m6h6
9jmrmytiaaN8rzhAqb38fiOBQu/qdArxARigjfSQmBuKvBR/5lSc0Ka77xhg668CtXNyH4xRdnYj
RzbPXYTZfQ9eIZsLzCDDXJK9TrTjdw9mrfHi1MHobCVSsmJZ4qblsXZja1MYYto3flnseqVftUuM
cjOG2UZMvJNtaL+OhjkcVEzkNOScDsFZMe78zKWczKJT3NiXDjFHuBIG9Nw05JYx3N44UIu8FDM+
xAgY0IkbxHiKjDi8jAgAEKfK6daTSX9reDdP+CpXCJiGD5vO6NT4S4KfbXR7WYyL3mspt6zZ7PAi
4emJ42Ma7FJXMSLHMHPwMvwsae3Fe41pmGgY+yGfYe8mtREeZztsj10QBKcmN+NTK8KLkhnTcFdW
lyhQ7WYK3fprZyEN8MATYmzu2X8wpSTTXgTLTJqc4cAm+7iMUi4y2Fhrh7f50InKxBNk5ntHBOIn
fkTKaAQU0FnICrXkd4WM0HsFFV+4+rOzF3LsS1CTeNaugajBi/nd5v+niftXTZztSut/6uKO3z+i
f0iLkb9/4289HPaLP1DY8J9EZ6PUMjz8Ww+HAAndkIXM56+2DTweDBsFDnSPvgos1X93cEiNmEH4
ODoQKTHiFNa/Y9sAb/WPoxNaN/o3ntbymbHlPw3aUklcq+MG6kYSi3EMKXnqM6fZZG4NoI0Og+XR
zFOLpZrwVfY0x5Xjf5Om+yMqZ+cJRzpKRVnSs8GsYDFuxGckVwgZYb8BLYT0AzkFHb1fbgxrntpH
IzOh+EXhMNQvoqjR17K1WEJiU59s177nRL+5ZoSndqgzb4fzrTjmwWSxuu8Y5hNOsCnyzN4sXe4u
iiELbBO/e0hZIzcr7vbgkllVddEdWNFJ9fXJ9JvhO8rdr3beet9t1kHvmETcvaji6muTpwKmf66O
ytIfVpOwvRy9aKKXM5voPE/ReBBVaTMD94xbgf9/pGbpd5HwJGpnxAAhmbhuxUqg3zk6a9lvxENy
xyzYfAX1fbE7q9qQuletdRyJx0kX5WPb1cWmb8Vr5sT+y4i6/Y508oWU6L+Oo6e2vZiI3OjzBzsx
2Oh2jXlr8rw5MrkJ2M7GVD19ORwdFcVX38g+/LZ2Ol5rypdKpWdgP/4+K43+GzLU4DgFjrUDVZVB
PySmnLWr/GHJZTXi6aY8EM/yo8NgASEgHt8c6XFRhiDGVnXlQYTNM+8rfkq8ti4JNKNXvuZx/lob
PHRRVxCJo6F/D1rD2VosnLd2GkOarpbC2x2KfskB7R25smKfgn0ebUznIqqOyyfype612pFiQn2E
kD09uGZHNgmXJ9dh2bvcHGh696K3OIqrDFMJMzYZPtqpTO+nSc93ASbCdTTb9SWyqFkBX44Oj2KV
20X6s7eTrJmAyFjx06B0dnHyarpEk7KuSKCSHYv24X5o6mZXaD1+tjQVGBCE1a671MAapzVel3Cw
5T6nKLs0cxAfRqfQlzbw5pLadwi/EydkrAmtdA6RbItwxbXrnmXlQ82KW1fA+MR+pxqfCrZhx1+s
a1hnRLLr7os1ThAlamsyd6mV1uQGCTfemKgodiAs8fMbuUEMB3Src5/TuiNBtTvWXnXZ7Hws6iBg
hwvNbXWiltIvYQP5mwQWk61cR3i952X+gTGEujSO8V1hylpZUbTsdZiCrKwGRT40BNa9FqjKnZsI
/xWyQ7rqGxcbThHfgxbG+B464huSlGxnxlJ94mOcT/NIyMta9ZFCjm2wjJft8AZb3Lo30sBlrkD1
R2ikH66LdJjO5WDgt/IwVpwgGuDMAPcZbbH0zPcAmsrtTDr9Wqmx2ADiNo+aFuMxw2a297Kh++Lg
/HzAQxmR8xGkpOr5YXw2KguzDKZ2tj0+fxI4cU+sTIDoBL0N9Wpu+glMWJ8gUqfdiQdvfunHmjyl
oWY7wDJpE/kTb0lrB9fIK5p7hWNABl7zjJdSPfpWd2gKa74bOjGwNcPF0fG1XiWZOR5xPAxE7ihS
aXPT2MpBamy7lTc90WdXV7BN5jORtozdhaw3hkpJLBiaAdJYHAVHpvDu05jUOGZKvbbGSlxz19iK
ohweQgJOLlMCe4PDU9w0TpF16ZC+hO+DPDwBvSy0aLHmWn7HH65ulY2Ni+7DPOaaHWIsNZisojJx
wAfhnhjOaBPE1bPhVhPIaNNqn2Y/mn6g80TLbbjTYUpy+4EOcuFeUrhtLAuBOMapdO92Y7WJAw5y
Yc7tOY668aXIhL2rqyJcK69XVzEWWJJKDiI/jIZNkPreu1WK6DBVQ7aQHvDx2zRf+Jsd9c4lOB9s
3zd+SConMH2RtZ6U3f1MAigHthOXj5q+GfUBzhvCHT/COQ+3iLKhJmC43ns9OgIQTHX0bs5he2ny
7BEISHeKfHo8q2kYK2GMv58Lp9wNozffC4mPTuMArJfdyUz4k2qY6pSA5wmX2oBr7zedG9k/KHv7
7eCOnxScPfG5LqIYLIXENCrHuESGXaMHc4ZXvGXx2kZ58ai8wd+AQ1EMbyK+G8DyNrNDlIuM0/EK
Rc/gwKLQHZzY/ppm6Mc9t45vMigKxiOl/BiAEGzoz1+CjiPdHCaT6CkF4k3gRXsiG2tE8jZ7R6KE
H2chj5g+BUREVJvbVCCgXxUsQzZu3D8MVRq+GqMDwaHLNaqUArFTpqdiZcCn+iJChW/fqt0TdIPK
4wQN/APnprHWrbhouOKP89zdo3laVgMiOwOLSdcOn73nZGIBzr6JLCFFP40R4KLmMDr6nvGYwqeA
It2U3sqyFg1AEXrYLVS3Cz142hiICSP2ggvolhSbssaFJHBAFbMARof+68gXKtp1OdussO2SlTlm
QFBo9S+h03B8D8HwEcWi2hu9UOe51+6nZNwGrqWCTaabB2A3ztPs2S9isvUt9YP6wvjTPTZgSfZe
5+I9AX7IEj/qTo7KP5I5aY8RSdW0PnG577spPXRz5iq83qE+xSZGFTsO7UfiJsr7uXbwL3Fz9SDe
H2TIaM0AtXHB3YT135JB/yrj2Dhkc+9c8ipOTmbs7IhJqZmPEjei7C9YT+yV8PJsC0YmWLlhnz2T
qF3tu9ar7yoPjsWoK2sn6uCHl4YcgWEU7T3tYzbHAnXQZTZfIqyjZ2ZNIUZNHa9czfa5mjPAjMqZ
fzoAwwjILGCFJ+5TGvAUWsman+eHVTOxrj2nKo5A+TWg3VnlpR3dJVV5yQZjuo4KDF4g7ZesJlC7
Thgi2EbT7+MmAiQ4psHXppvGPTkNzdfRKOBt+p2/LTH/H90h6XYZ0IkBAcEKYITchXD8UhsGQQZ9
0+icadNMFuRkL5lPBKiuXIKMzmN7dkv4rTTXOWlOWRmisRLlOhJu9pIQoP1EUZWei9rjqndk4K7i
IcW6VZat3PtuWN3APOxytdjjRwEbBI7gphgdYx8ldr4TkRle3KTg2AFtyKo0IX6aKZC6rx3oF5Gd
Eczpdag+EnK3mYF/hV2SrEuSVWCakDZ1Vw1usk6dRp6Q5RU7VsvjR+cBRlmBoqdISekAGQOHdbFS
cIE3TjmPnwVL3a9q6tcIOfVHHvrBhifyM+/yepfkhU+4RWE0BEUID2dNahzCuYHvTr+G/l0yJr9W
o5ky87EVJuGcGC/DDvEvNebGBlLHlaZY27H6HB9J9r6j7sUhJpjommreiaDiBh0CoNScA2su4Yrc
D08cAssQPz3oX6t2yhhwt8wYS/JutzJGpkbpQX5Clj44qFZZPYtphMKEUKouzOSIf7r7uszFDuYY
BFu36CoaffT0p0Z3eh0C1tzUQ9Zhh8RQ/VZHovF3snPJnJvFA2oVUHPDFCY3ObTykwFMhv8MJIHo
zWxtwYPcBcWcFfLJGwl5CzZoYqLyM+7yXtkr4JF+/uyOUZrap8Dx4vTcjhhIn4ep51UjIGckc4uZ
N5UyyX1KzhAjMuniG0aptnH8OIUzTZrKxkBKBW8ynMYfJFZE3wefZ0iN4LzxO+VXIm2Y9Zp9dQym
gD2R7L1xI7QXs8336mtd8dOlVuU7JscVaYbNjkc0CIr0600XEj8eu+BnIMmMxfcmEKA849E7wlSb
+Qazjru5nXqeI0SvdeOo73ZWITFmV1GdA9hHWwfFz2OT1yQuqrw5GXlF1v0QRRtFkl3INGDoDnbW
estpwCSiLk34X5Qw5qBRF4RxelBNZm9hCJtnUWj71IiGEsCB+e5l0bhx1JRbK9fg8URalS9j3Nuv
WuKlXZQGOVwNaZAkIzIgg7xyj4PlkSCctRNc1OAuTDxeVoGA+Gkc/HDTs9cGXdHNLLSq0FwzwdCb
xsqYzGkHzxM42QqtILcw+LCRaJFES2pkjaThNOZJ8hwSMfoOLUTRMzGinYo5fALCqXfe8mIHeZTs
cb4udmqWOje0RgOO72Lst6qrgHAnun4Kgly0JCLwo93sO8dUN8VjG+JPDWHBfcE4J99k5dVvRYmL
OnfFxTargVCTQhgHyyR5d1X4TEm7Xpxx91VPPWOrYgM/rHCv3RjZD4jcPqBBZSk8J1KFV0YkiLIY
BNd+jAIIvEcWqLs0m7LXRFTJi4cpFPIo09X11ElzTyvUvqRNB3XTkNa6Mm2s93lYAVgOi13SJHwJ
x6bAg6nwRK5oPah1lh3qJoic4dtM1UfFb5BejcVxuq/xlkZEL2TxYxP6VGKI1fACLyF/GqHH1oQf
dhxSkM3RPCcXh2nrMcf1cMscOgcE6HyYhPEt88r5JUKQ4qzYKPPHWROHhnDSiYk9EDw++YNYz4k7
3xkTNvWsq4J9a/bZI4gab2OhUMY0CroVV2B4Csw0Zjpvsk6NsXUXSSDXCW1ZSf+5FLLSaS6ORXEd
F8JZTjDQLFM9wB3WcZLXb2U7ePmdTBNtbTOw6ta1ltwCrKSArq+7SGlcToxE5u8k64nhXv4y6EUl
/NWiN6bXthir8XlGY8n9isYSAcZ9J7TloqDtXNOt2DQ143DmJWk8b1eGdUSYq5Yli57/k9u9juzW
GG+E5uyh09TPINrGL383/rn/rXz5X0WX35dx0er/+t/yL0IRyIGOYFWBWoPhCovxvwhFKnz7mBHk
cAsN7eDoRnIjgea4rNQMj5Cg8KuZW/s+MU9W6uwQvO+cSG49N7hW3bzVZbvlT937c7JJUdj/z0/u
L76K389NAV+0lYus4K/+qFwSIyoCjKlV1dzciloxOMT97d9/EACTNpl0aBDcv74ATtKONL39AGtV
rJb/lZHtCrfc/XqY/4wk/8VI0rIIC/u7d+SfcgiffxTFD61//Ph7D+TffutPaYn8A8/QPxP0xR98
YgnJMjEhIi30mFb+P1kJcVIw8oHG2Ag/lnf1T1mJ/Qfzw19eHc/5t1kytst89R8VZaYPFNS3BYli
wken8o+yEhc3CGQzJNwG/EBZ7dkgkQmzRQHO1AJQkydhW7nmcGnNCaeFrqcNXbi1d8PAPdQ5otbA
CXS+ZWsib7q21fOIAHarYoGiJFSa8q+xtkhIxrcctO3Cw3WsD5+1wdGsRLbufGdYgzfmfg3c711R
teDLdbgnQpdIP2wLaxmk7ILJSt5PvaDQ9S27RMQ7ar7K0PSyYiG3gdd6s6va+yjATB67EbopdEnQ
VmQ9i7ZHl47O5Y5BoncoyIp6NiMwzqte2wCGLVOVb5Hs6j1wiPmk+8yPNqGp1LfAcysmcXmVYd1p
wvBaNhPXTtJ6FwKxxCPTBnNTZO5D30n/KkCq08qE4dcs0ssaPu0PMxbpTRpjGQkS0ewbNOiHIWbL
0VjTQ1mVtFFEKu9woZIE3fXyroDGGhbw58oxvTfAerFKowmVbPu2BGGXqy6tnaeGyPDtUNtiDUnL
xqE/6mOnZyDwxixPNu6lE5T5apua9byOjGTe6ESU11pFbrStPYNLCybCs4wrG+sLSdwhJrC9Xcl8
h0DS4V/V8wN2MH118a+v0s58VmM+fk5pp7assajQ3RR8eYqEfphUtlNdCVCjGqdHO07cb10wrqti
+ipyJs2yspJDx3J0b5l+8KUHLb9LkoCgg1il07WbzOQaOjkwaw/fx3oc23xLN9dvgFt6qOmbZlez
g9pMSBK3DPHhXtL5rhoMYt+8phh+hki2d2ghRm9dBzm2CM+yH+xpYBDJjOcFoCkFxFhOH4Zi6Ehr
7IirUaY9tifu5JIhDVR1n5V0xbhwpcyAodWceqdAqOLOkn15zQb5EoHOA/9v2fUBSEL6MJY1HLDC
6u9MGHRnu8b3BA7ITuD6SyN3D53B2hBsY7pIRjs7BXDdjcNJEQWfFCbDyXlsrF1kVx5GCnBOKyrP
/DB1SBgKqq5wZdodc0wMU4RWDcDgWITBo9GSGdKI/PneMJyD79Q4sYDDXBtlfpQZfcKlplqMzpXM
XhXkjse8dLiAPWkcddwRRLcnkg2g0ar3h8L/nO2pjrdoFea7uR/1PeN8L/+EmRdguSko5Ly2e6Gr
s+5Ba0TgbZEMPduBBlzTYNeAhe2fGPKb7B5+0XGrSFWP1W9obrwAdFljw9I1f4N1nd+YXWT0pXsq
KGih8MKFp5PnoOR1zxdSbwAfH2ovlgfxDiEfmK9YuL7QfUD8Ug2Y8H4hB8uHYlwwwEgN2OTFs49z
y4fDtuCCxQIO/oUQxjXH8JeICwn1vM+Q94rWT765+J6Mg1f0JDo5JX36CtcB1qO++5VqOkadfR3C
3P+STxURkdIlLQtKrwyPMmoFEqR6GO8LcDbfJ2JD0r1JbAL7/al2WTgYsZ+uCCQgJ6RwUh5yzkJK
u3wUeMXCuczXDDBRMAvQKHvOPjStbRowCyOeOo82KNkTXC+EiJV37m8m3PSbELeEj4pNuZDjQnd0
wy2R4upuZPqwc2wYLkJkiOMaB5TxWjGbeM4WrlYD2wGeISwnis/cH/bJwuAiTKs+prHP9350go3z
C9Zldpa7p8BGIASFcV8yorovwHvNv0BfDU7iy7jQv4Kqcnfl0IIEy7BT86X6hQrrFmpYi1/w5AES
cxaiGN9V4GIyVPG2CUvL2DF7F09uhqhCmXqWa2twDKqWorjBzisfvd5Vt1bV/TuMV4BmuDbOLN8t
8vEauUkX8QJODHQMDNPQNOSLvKFG58AdtYjnbLUbFhFE/EsPYS7SCGynwW5kKPbiLMIJe5FQiEVM
kS2yinIRWGTGJE491donRCjnnmnNRrtkS3F0BgesmOItdWW80QzC33uJG4X1MXIOrEDj2aXTvNqO
iVqnHtNNNUzJVwBX8uQsohAbdQi4VHs1/lKMtCA5SRpchCTJIilRDNW3qJj3Oiuql5mm+8gqjX05
vcve6XN0KYkchvWsyZAaFtkKUlQULM0iZoHIWG2xmGPKaIAzDovoZVzkL+YihIF3Gd1XizimX2Qy
9iKYIeHL21U6RUUj0alxNCKtsX6pbPpFcNN7ZnuV7ix/9J1ZIqNCmMPeUh6IsbCYffJ4mHZDeLlI
eZK4qrZoULNbugh9mC/UVyQmzb0D7uTiubJAwlUklzQaMWNZUX9LS2cmQTBTyzjva72IiqZFXhQs
QqMgkD7/iFZUAosOqVskSeUiTtJjhE4pXiRLToJ4yTdV8+GhZ6rJ1NpY49w+NL/UTvYifMp97T+k
ixhKLrKoQYdoe8ZcoOGBABeJ8DVYZFSyyAXFgwvZCP8NCpBFbyVQXo2LBMtuwurqxLE4W78UWtz+
9WZEXb9ZMrmShbnzYpgMGDedDpEZ2Rig/UX0pX/pvzAPgaLyWUQs0Zjo1klMYQBKjoUM0XsJ1iSW
Ryfb9O2mZJr4YY4eNYUdQZRzRcJJ0JC0TgxKr6bIfWJb6oVceWEOVPJZq6mKH/5T3///USLtf0WJ
XOr7sv34+/reZH+PPvvP+t7/w/YstN+opheYg6Ba/1M6vqgOFjG5p8QCGVH81p+ME/8PosTxGXA0
kLhMB/vfNT4BWqxnLAejt0BAvqjK/w3puGQR/49FvgDCyHSBHtnkCQpT/sXiY3HA5K1diDPzmTKq
uzUtq7EZZUFD2sqROpE7jOBjq6+YvQHLs7aqaq0fI2pcgvfmuFhVULpI1gtsv2STin+RtG3b/iLx
kyF105LIYTN8ycfOXcehcl57226vTDFYE0GfDHZxSeAUszbDvTLBtu01d5bP0oHInkPTJsXZTcb5
gL3/IWta6xsj/WA6C10zekSv3176xLeLFysNOvei53oWaJbUADvORhf9PZmnhkWNJgNHlaxvEoyM
k4bKBhN9Y1EtY+63unfGlkM0MpbKmS5asTMzMMzdCgmS4zyFkLSZX5iYwLdVFsQvMgJmx76tmNdN
nPTqyCpAf3ebsn5im8b+FNr83hyT71mNRTQGQ7XWoo4Zy/WmuU/M+Hli3XyP3jJIDvyIdYV7h96d
5Wt8aAsLFUWD6WzbSuNjJLVvxUwqH44Nq6KF/2RtaxikOFg91oVz5NbOdsb78wiX3rn2PiHkcL9c
eewYk5bndqa0nnPPfWKaGjw37WR6xyYgkpClYOVk50zbgAndJkje+oGYV8My3XWK54rXoOpXdTcW
JwVO94y4lteyy5nnmRDdUY1P03Buu5ZcISMko9uN1fxYF0g/xT4IgYmkUlHuNNOwMtuBTecwFxvq
FlbXdlATLjgFwYFFhPlWzYSvohA05mdkZ4RYtSFOOih5wsu+xNSXBQFRJNQLdLO2ORrbYYne1nuz
Syahj1HosHjPE8Qc8iPUcxPyzmXQvB0WoLm21yiz7duMsRTKfwBZAaP8Me7nRw992NZnLcHKsRwI
XAD0xmqE7jFSTPuargVqn83IF5ixmsM2m4N+3YxetSoM9zkdHWpU8xh2zdWZvGQ1Q/R2Y1ap9Vzj
xEgpoPLg5KbFrlCpfgH9+DBiKKQO4xmGAOEAqU7vUgzzznXjgPCx6UlkiQZ+GUXbWdXJpc4NuMAO
UVdEUqMiNQpow9hJt5rQ4FXObuhkdxnrVq9kKZ9N81HUfDVNlZkv/mR+LdBUrGuy7FZJ1BoYhZN+
VxZu254cCzy5jodvDSnnJ6CN4blWbgewkCuxQUReGv5a21W3s2cI4qlRb+LcgDpZG6j1KokQm3XZ
D2eu32BUQIgNSGVStZixwTUpUa62N2wwg4WXwhkLRo9TtScy96mNkYnIMpar3nSgMyP4uefZJ+fE
mYxmxb6blGvL6n5AUJ02XmTx4vBlO9QVDbOL66sI5/ZQ1jVeYueJluYx9eILpRzu/g74qjk/xwqO
mdBwp8PhUSMqL6DnAS+ftmHCqx+S1Uy+7ouu6703jdfENIiZcrpx11RZu+0DisgwsL8ozOKrocj1
RubZj8wWzcosBgXlJCJQySA7qZYS9KHSq7p1OARj72pX7HYSJhosHn2JZtq0H0QHciRn6rx2Gcjx
2aq0LHg/1N7UIAYNaJUHr8k+IePFq9oU/klxXCIDZWk5BlZyi/yWRtkjcotvhXwIo/qB+CXUYfxR
c1ncRqiWH9lymqVdwPjVA2d+rph9P8ZmjRq/ournDWt21VgtbozojQjmHn3Y+DNq4eRT7uJaRrLI
dNqb1oRA+ydcfOQEc6w/tNZQ4QhQ/pEd52Ogmgdm7GLHMeGdS9JhiB9LVfvKudJtTMZE/aqy2uSW
mF2/rsnU3rPccHairLubEzrRozWOPmhB8Tg3Rruxk/xdhyb7DL/DBE/oNaFWqzEhUWQu9KNWgDMX
W2/QiWSXWKnF0yvtj8iOb6kVcTuQwYhtwt/HSfucgYXYmfkcPA3pcK2MullTkCUvrpG8OCFS5Mzo
P/Tsv6nQPJqdo/gcd9Uuz8gZw7a600OzkA8pJBMCk5PavpkyrPeD13wWCHK3TjPrg2jNZzwaKR/g
FE91jjXq7MBpvUXSeuz86pLp6ItKTcIGsxn+JdBeTtotFJOvts8yEc/QOl3O0srw7j1t7ZnKj48j
bx2udwTqa45R72sahPItY7HDjsflq2bYcCfc/opTfNvXkPmoyHdOXy9dHGv9ugcLSWRuGa3TKfP2
GPPnY0Sie1slpz4O0n2biZh0AoMA7N7YcZll6znAQOBh386h33b2p000BAc2ttrbNAv7IcrZWc9u
U1+zDsTHNPTltkqc6FsFSmA9mN1ljEkMKIbsRdr9oQjKq9/PXKyJDzmlaZ/6Sd+wn+af/VgcqHrf
yD/Itj1/D7SRMkX258bnfrKOEhf1zo4CzyQx0Zlvo2OzMnWCutqg5ZdnJ3bC3WSgOdJdaL3TF1SP
lpApEoumpfnw4BKu+9wq7gm/xKJeNqwcWu61Kh6Kw1TSGSESrXbsUbuLGRbBOjbp0/xFys6e9iUy
huV6HgD6KqKEPOc2ADb7YmBPuxNh1Y8be8psjOQTzqZHRIje0Wd+cxp768UmOeYbe3sjPDBk6shf
dwcLM1smWaDZdjn1B+5Zc9u3/idY23sZuUAD7KF91E5xPxQG8aGp8ZBPUXcHu+xVg/DddaMqT2AZ
Xz1tZ88jVjnTkO1W8udtzCJDGg477LBs/9FVyGbLxrAhbdBAiln20V5lihxgr0rXOUhNiEX9O2hE
vS0E+9OwH9IviDWZfgC3+ak6J9x0DlpnJ7Kyj9JzpycAGoAhO9REqVOtcy93v7guKYZGoMh2cKPk
uQgLgYRIaGQBGegGCxISfQpfIt6wZGWNFhJ3LER8r3l6IdPXbZ58r5r02yQM99H3i/7V0v1W+F10
gxLkQILgygYALJGUoTlntls1pAGIJjvj/i8PCZBHaoQivEozOzAXSdeGQ9h61/lMB3J0/xy3Ufdg
1EjyZ1fVr8bsH0q8O889fhQcJjFbRH9O40vRtt/r1PvkdM7AVyl/0zVB9xIn8qxwL4DcBIHiDEa8
xbDGBRETEt+aFlhnZ1EQ4qc0bwVWKPI/nfqSkDuxylo9XXIwPYehRDrkRvUnacpy3Y1ZLO+rqpdP
HJB63FpkdCACaocogwEd6h35BSmXlzaKdyK3rHOoJmeXUQt+WSAnGDe9zFs4D5P1lEeW/FZkjvpG
yApzwZndKxFCoE7IztnOHa+5+X/ZO7PluJEty/5KfUAjDfNg1tZmHUDMjOAoitILjKREzHAMDsCB
r+8F5b1VKd3szKqHemizzofMlFHBmAD34+fsvTaEITI8gJTY1XjyhoVg+QHIg0UMBQeVNRgCYyGJ
tEEZVVQe6D+yMSECKDaqKT0zOfV2RTUmj6SBys64UGiFBOY+I6Bksj59E/jn9kzml6iSDfZB5snH
uBYmTUsnoOej7/nWTk7OsDLIYAWUgjgrZQ9fR4kG0VzWEXATWxEB8uC+1g4dOR+H1K7xzsT0URvf
KA+WBJ2bdjlQDH3axp11zdPc+pTZyMfKxqXDkVbinMuUhpkXPM4LMsmxZZhPmtJeN95QkVEw5bHY
5lX8yUgY8pbriFezCbhImwavYwfkI8cz4M711mvLw1Jz3VUQizZ+YBqh0OoG/N0Y+euAXXToWGwf
5BBOkY2/FOnXiUhElwJ/p/t8xFXQfIIlILZQJZuNk1XnCY9JlBt+FXFUwdklNZtzutewJ5aCPHr7
IZgIrnAT672sh0+imZ1bzV3uZcU5xWQ2vVNTbYddA/vaxoNqNU53wdA27rpFM58JP+rxJlTVJyWR
HBLBxFY3k/KRG1DKSQkL89SB12bmQtwU1fIJFpbaiZ6aLqOx8K2gZ2YobwH5w1WuSncz68j+XARg
n/DI3kDhsa+dDRhsaOsPit9+jTrfGvmCWEgD0qzs8VYxztgt5VB96uw8i0q4XTvgb8HWBuZN0Y30
Zdby8lKg3trMoOt2ge60V9eP3/S+S6KgUOAipkLd08IFX9UjPpxLj6oH/e4t4/0r7pDhaiJQqkS7
Nrs6etq2Pl8Bypw0XHoYDAW69HFktBt40w25CN8E543S0L6Y/vKaNHDbjX644ZhLyzAv8AMux9gv
xu2iafuSJGSfkGWDkfeN0efNoS26uzazzrVKWR7Tlnk4Xb5d03C8Hc3O2ltYq03hoKfO87NvkGTs
5zoEMJqIXmqhsl5elTe8x0PyJhglRL6w7gd58UT8CZa0JEa2Tr5qmjmGg10e4fuS52J5N/SEXvwG
hlIQiH3B5rgxEx+zagymWqt148a2m/t8ojrTmNisMhAkMYWf6KCPxER5pt2Bbx9J3qzUskrt0J8h
2mRp0DVSN2ff748dV/DXuYMyXdDWtmJyq1LLpAM8oXIZN6lTfSlFXokt4sfqypZlLxslrJICT8DM
MtOuvp/kmrqgKVR2uVvs80xLkISanZ6GAj7WF3MyMlSJxMYi6Wo/TQOKzHFMxyNVdQH2L633dlDb
u2ZekvOkD+6uq4enuVsQu4vgNvCH/K7ONOPDyfrhvKSZe2osvzuY5VycBhHPO2eyuye7xqvtE9vK
GT6/EK/DAT/RSYJLgN/3IrmxFGAf+tXOhXGqvW1RP+0tgZYiHzktjZ6t7WTgwb7C5R5baELH2rKj
RDEAq1aGCHnLdDOHGW+Epd+CnvFDt8nBW6dlfOvCwjt45fzmV0OwqUzv1UtKPjGK2ks9EALa5fPR
6UZUJhP2v4rGKNIKj704+IrjJItgh1sR7naSdxunpgzqFvLJ+fV9AICKe4exKOUep/6dbearLNtE
A63yXSr08kjdeETdj0YZZf+O5crZsprPfPVOzRQGPiCMEw5T/gNuQXvPUZiOi6XyLyPKKSppWy8u
bNXsQhOnhevcB+e6r30C6HI7MmNEV1C0Q5zPkEANs4X61iMfSMrs0Be2Ef5QGBWy18+yaOWpF9ZH
uwyXOQAxtp4tzAWZLav7dtW23+UdX6Mo3E1OVOoWLTGezEkzEIxnEm2Fr50nOyderDIZRFSXxPWe
SZnsCWcz2lA1K6VdqV1t6Ptkot9RSoezjJPOu6HI+FX+QLhUJr8vorl3hUQahXGkW0NEEmtLl4Fz
lmnVoANwQ0zkOELbo11j9aGOpXRTYuw6pKLEklE0DkXLfJq4U0PC02D5DZI1EtddRAH4Nnr5G3Kz
o2+3dwqA2DHrZ5I12vbMEv3cxGO9swe15ajFlWwQLSABF2y4G3DKGoOJXJIJHyaEqLKldewaA5qC
RvgRQQWjW4RtC22Og85Sf25tFOuMYSd/Z5bGE2vngzknM+9olNvCnTh5+RMEF46DUtMZd6CnoiOA
eD6Dbu8zj4KD/1Yj/7/PE40v0nf27dSiRFLW8sk37DtESzJSjWGCr9d3sncI1+o6grUplLXILcnB
4ICTP1UQ6X2jvfaLeS589xXLyq4pX6VRrRLaDyT+DM38DAyagemVIUjU5nVoIJ+PgP58NHgscSUX
X9MWu0ELZipcCXSFKQRNFZ9eycLsIapregGkJFG2QLLLRX7XpSzQYT90LtNi3fZuiWo2Txo1fQNC
pUTaOHIoH9u54y+xkzf40xHBNu227lXdRSmpElPrnpvKOMNeDMnArijEinLY0cVJTmxZiEgXwyNu
3JjbAajj0u1tOGkETbt2d8zKNr7zWdUI6+6NzqkojVu4YCsoXT5pALD6XcWIkimuVkwdct+UVpvL
GQGzS2sO+AvtwGiJ++UzcuKGnsPAJOlm8HwbR5DyCgkOkXlEN/z3WAT338X1tfre/89V6PNOccE6
l8r/9fMf+9//nHwXq7rlpz9As8zkfD987+aH7/1Q8lB+0T/+5n/2h//2/T/TiUeD8pdCm/9NoKmo
f2rD//6Qf5r/dJx8sKgte6V1rTzxf+/CG4b9G9e7u8JTfqBd/qMLb3nY/3jUmqS09ulXsc8/lTbG
b9xhQLEQ5xj04v3/ShPe/DXqFuSTw+taQTA6r4cB689Cm4p2Xa+4rUnLwWHVuhzIZYUNCiqq0M+i
YfSGsaD15DLsC7MqK/2zRAhkbIu6qfonk/UEgJ6BF9vcEqjSNfQxwfa3jf+Yufj6oSMNObfYEDaT
slmlLFpaYV0H84HmzaThbXFMsxqP3VDinGF+KodaNpe6nNl5xjFD+hAQWX4DbVedhFaNOrEV7nyZ
7Th+QtrSnGrNfQE5Ne4JpPSSUFdBxCySPMGqz/ZVrpj9OuSaPsFoxbaMkYXyI4CVCYSmI2oSZgok
0JIaQGw4uKqHpRidV8y3MSYL2Y8XMmxjAlNTOQ2bjkB0WoxWooNXYW6/V0CZgIQGIju6VdJ6V8KT
gPP1eJv3raax1rgkmzAbLuCmauVKFeXAdWjibtrlS+exDGk1v7gmJ0uF1Rij23Di+oucZuNhctN6
3AuZS2iVPQHjSTObKuwT0gJhF3QRk97xRXYQn+IFFGHIOBChuxI+IM244wi5sWN9MF/iMsce4UCf
6RlSbhEdoKuF7GAgAu5uJiGMJvJsbyL3z0KvTCyIc3Tj3nsOciyMtM/ZErPcbuUu7Tu9BH1Jbp1G
RpZ+37rQ/RglV9SmZRy6wlEES67JOhkgHi10ICRTpbKuiUgfmAI37lgdwG4S55eMA7sMew0d9Zwq
OzFH+iym1PmgEzx1IYEm04cXZ/rr4hDYizIflQo+B6AgYK5eKwN94y7oEAkh9GkejRrLJt3A8gX+
xGo0HMEooNGQeOTTRI/MjsW8mrsI7wnW6xQgYdikJepd3VDGuE2Sst0hDlGgNbrgVjktTeO4gzXc
2gln1liRKmZVxSMsNzIBnXQov+m5Jo4Izc2jrDzibrDSfuVu6NBi5EbwFlejQd+ml2OB0aU1n2Jo
PceJ+Q7bK60odOxx/+jb47uO4CAaZ3+JsKExj+AOyI6ClnMVAmEfA6oy37ip3BJ4Zur4X3zXMveo
WV1AqQgWjMgZTSItTOyOUR+3T/Swumvr68sbuZJxRDLb/Dwg/D7ES8wtqGk6QVmNtmAsazQIoELV
19bJc5zypDIyZaFvhw+o8CODkLJPbtLKzaQF9bEOsuSzbJHNboCV0gAHABX2lDD7URIcIwCvICiz
cXDYhX7P1jWEM8OlgM6/bU6sLGDG6A9zLB0c2dx2VRzsgJOW32ujmI9t0ItQpe0qI5+DTR3L91wn
HNaa0RvgBrAPOYG7GB3MVzXNn52yc7AZJoGKgtH0uiJCKMb3OG2alrA0927qscLxtIUDzr7779nv
Ltl7J3rxIX/e4X7sWv+x/f0/tCuiCnAhff3fwWYPqfj2/d+Offlaf/tpRP37A/+xOXrGb4bJ4JcU
gOAXuhk/glpvrzPiXwINzd94hMFh0f8x1P7D1ogz3rAdHegapeB/aTiNAf7n2TTgefZeXPu8BjZg
xOM/74stJVNXcRo+aF5PFT+n4pEThESShnILWYbzMlXjeCFqKYM70rzgk9WO+uRdTYGTOQQQgeam
t6v7YKzqu5IEWCfW6eCi2cx3wp78aAFhfewwtREwq3nk9cKo9Hvv2pRglU1l3OXY614Dq7q4U3mx
tGkfyyaOZOeQxTdVOFlYPXHrZh+DPmTXis8xbL2m3gw1/Hpdo8JV1Jt4opezCPQ71+gBfnfTq1CT
2jhFB1Meu28nwVSv7NfKAiPuCf/qWWo/ZV4TEsD2EWBPmozxAbIHoTkZ4zizQBu53Nk5g3A6SmGX
Y+ZMs9cZsnIk2uXdkcWpHI13NqSXdu53ooQO3dE8/Ayd4sA81d3QuMVK1hNGVdPtN6T1gvbn1YOl
vNMZmuldcVk/AVnBJyKu8SNvavyKicx31kqZtti9NwPZ5ri7xicssQ9+rWCkmWijujJ4J1gJmH5q
H5JkPqMSFcelLDNOfj0fjL76/bOTmQ4moxv15Kbzw9SA8rGKU6LK167NoYY6yL6szt1AH97avKEJ
mjfN3Du75LuaLUnftqHxaRenBTIHMqqUFZs0c9oefFA0K5DWOti2AlNPt5CBKIO0kXk4kOltoq2f
ZVq9DuhnN/pMbgDurDlcn6sBab7V2oV1S7+T5rSHuXL+QeXGCHluPAGNvUg/rJK/5hjZpSjUGZGf
c/BFwCk34x0y8nleYkDhpXTLKAuYtaM3mFDu+Tm2Z3vBEJ6fxAyw2UYBnDrqqcKpoeZ6Cuu0kxGW
z1foScGWEd073pEzG0tGR69j6NV6L5nS3/zWugUXYIQutFV27MPiDN2hVeMTzslDltE3lJ11SCq+
o3WMHhYSks8wLGdXzOl2Yu4QIgqxToHHlYBUCvMplogNrK3nOjHeA2tiPM3Qkll8ecLc9dR2w5Ot
yo+KzOJQ57AdDZV6smIjhXgOGh3gP4x6l4IS3hKN9vVzN2qXesx+EW2N2992royyvZ1cH8f73KQK
8dNkuS+Z180Heh4LnWx1bUyt+YopOYA4keJjXLnHEAhEVCpY3Nj+nHCmyDu0Kza5Fc547CvXP6pR
I4UsnUvaPU1FjFoz40gsx1OV0mYm5Nx6l4CY57FzbwxS1AnfUyLDRNjhH8yjACdY5BXL9Bp7giYq
B+/SRRLZ1s9FHT9XSnOZjtvMk2n50ORK4yupdV9p0eNYVuVWpe5MzGBGVuHccdxVqUF6puvSTFJd
cvKpIjeu115LLb2rBbZ7XPnPQqP24RDrbMfBeVX1zKSxhoMD3zndgi7DtUxDo1kCdwf0gQErCdJ3
hnQkqHEu/yU33wUJLvSlK+Iz0bPDPzR2lgfdmleB752ouQ1YUbKETdu/tXVv2CuTi24uvBdPc8my
a6djPHYf2tSdwf3+DRZ2Pb38BKal/QTl0oXU53ocs3453WQ5ihhyv8XBXtNDrKEl+MFXV8hXlyU2
3N+rgd+Pln9i++FQ9i/PFrChWQ7QXbJtftEzBfY01C54vANjMhFRzZzM0ko3rsWC/ofN9E+e6Rd/
EbsTTGQHraIJIYa0kl+eafI8ZeU4Pw+mLF6DmNVwXY6RZIJX7Dckp/N/+u6vnzP413cHhpmdn3Nn
sP6Xn7+/PmB4WB1Q/yOx6iD1e4wCM02wrdOPTzQ0sflbDAJX0Pz6fstyOXc9q9tfP7X1L3aQ9f0G
0JXwqzgwr3+xg+BsnZYcSNeBkCBal6LyEcO66bpcnGnZFAeSEN6nnvFEMY3jKR/RV3WIxaHxze9r
hZzUy3lIiDBaSDoI1sSSHAMsnSwmJSzfvmsiMmHG3Yr8gsh7Vznjg6qSZ91JqemVfaWTrIUExgZ7
8ovJo8DzFdpwYqK/fqd/cgmBCdJNh2R2nYPvL1+sWWZBJUy7PqQmozmh3+EpvqsWXH9/8zx/9olC
+wEbQIQVl9Ivn2gwGb7ih1yrQWkfaXLezUaGQL1kEYbFn0e9X4A4J4qmHOc7+PfVfUoPNrSX5KMd
WZfXUiUvKCAMU52xueEDn4YnLXCvFiZysoSxLDdZFSYJSpNWmeolccx5zxmv2apszs6D3vUPdaGe
1RrKAV7DPsnMB/LoSnG26+wDAaoLph9sNponsac5/hGL5dlPht0iifYgwOSQzoBX0hppAbILplTq
DIGoDM1huUP0DkbO5HfDK/ja4XYMPeNvOeB/ssJYuNwCz9DRMTr+L1/Y4pFlb2tWfVgm/PyUE4qV
jWm2u9Em6/DXX9rK0v1lNSNWm30KEj1RYL869zpzzlCnzfXBKUYCoIkNEX+3YP64k355Ds81wLyv
/w7MXxPAsrQtkGro9UEEY7PrM1r/dry8ryt9hkyORkZ8Kkz7EGjmdYoDZHd1edJU/JnD/hsjynpD
M4fpZplbhzFnE08DVqdmri6GkXwQ62Cho8a7XFruQj4DgQ4Drp6bMgN65DeffHJ8Ni4RBkd7zuaw
dKhbwGEjVQ7aZmd2GCmtoDX3wElWMEn24dRcgm1WXEZVnAonmQnLyClQjYnq14DOB/g6HHX5IGoz
3drWcv6b7+RP7li+C8LZ6Mjp9PfMn5fF2mwkHp6qPhhYmzZjWmEVllhNTa3gPad8AlBv86ic/Wvl
uE0Y00DZLEZ1K3Ou5biot3APht0ULxy8XUNEQ6q/TATkoBijO1SM7hVxqctQwEGJZeaR07ESNQIn
sZfPz7o5vS8MSNB5PiqL6pB4bNJ+NEWet/48U4jRTE+bvVUSedpMDwnHYFzzXJ92w8LXuyODRs3O
gfIQgGOS4gH1c7z89Yf0JzcJe8b6j2FBpF5Fyn/cOnAAMASaRjxmfh1R4ijQULwcmz5P3CR/842g
nPnX+4R2JsA1B9ExdsRf7snWtmYLkxKDMLOvt0xXGdbF+SlmpwpwKYWL4JJc6LQwU2WZynMqwKS8
QEYh1RyFAb7zgPF7NbbbwF3wHZc9FMrZp3du3GijfwugoA/TgGpf1cKKrKZ/r/LlQZXzufLWzZjL
LLGK13haq1SCY3DlXdqhjnIliCTKUPnJ3EdT6Vx/HC+JeLaizOEvBnAhXU3yiGYad008wFFbZEoG
iLr7cQgCzyaiSRbiRLLOU4aXmjRl0rCWlqOes0xIbBN9M9sBTcrxySyMu1bLTpZFtWYgr8zqAqck
/wNuoN3EEGfCuBlGQtkJF1lvo145V+FNT26yHiAcoNm+y9SkbKmW9Di/KIQrkdfwtyE/vbQ5+pwa
begNwt93kkgitM8cFcrsklmgpQJFKW6X9kuejgAGbITMwgEKXZ20MT/9yB7rEm5gKcsTh+J9hQdi
kyUjFyZ3hzvJS2k4X9OeMLvCcK5jD6HI7OZwPRippSMOmJAq6KnOtZT2i9khevibK/dPbm9qHUB7
uoNLB+H7z5duOYN0MeHDHXpvfq/78aHX2fdGjlnoWfJorb9+HLWFDEhKC6j0ftzzdSp3OP3Ae+U8
rK0sgntrvGlFEPkjkjomiUjtTNOvt4Ea5kO55p2MWVEh7bazbbsmobRaGVyaDtfnkrAvyiUlE4K1
PFw862pqrDG5nJ9Hi3JL76wmdHWSJ1WChq70qawTDobsh6kF7yhPKLPh5z3JkRW0M+VD53MkDYby
Mg7Dg+0M2V7Q+95mXWGB9ljOVTo9oQpHYGhoC7n087vbLw0SVfngcTo4FJl7HdlEOGQOT5ar7tZq
Xnr/3F//v8P7bx3etLL+cK3+icNbvfZ/bK1Z9Nx5xD9aa4FFBAAmq8AgeNnzrDUh5p/QSd39jd6w
6elMY3+PAPin+8NysXi4/Mh06b3ZHC3+fe5kOr/5ACfR9ZE882Mo9V8ZPBm2tS76f6g0WJodm7GX
Z1Lvcmv9mEz94TyhS00DaoL3aWrN7vOo2RBJyvndV2bJzFprt6lm9LicRfHgTf4Fsvj44o55+9gI
7bGleEQkzBEAMQM+NzFoYA4tN96PIk/vMJ5qr4PniU3AGAuCoh/TiMCjm/R3tefM1r1tZ4yzELdA
jjkiYfTNK50RXXzqkWrBo9KKRVj7BlFJc/GbTocLpI8TOo4NCF1Z2Zs4Rq+wQ/Khe0iOp65rP5V+
LaGrgOErDaYFygWvYsaB3Hqpbve7tARHcpLoOJkh53XhYxtX2NeDbcbuYZw8MZvP9pz0WGcXjtUE
wZMh4+9Zn2bnOGQCuQCuh4zROCZRbRhZ0YuxjVLhiNe8jv1viZvjxF0wnPTtOt7QAeZQp2NsZLHM
m0jyEnr0PcI8+wBv+3BwA0yTOaS8cJKe0+9GPcdmv5DYwL4i8kOVcNhRdSaRsGENYWan/O2EPegL
uSL2BkZMSuZa9piU0G02asgvLU6VQ25Oz7nIrH0uUbYaBI4diilJMbZUSfoZgi2m0BlYieeri7C7
M6yb4XOfVDX2mf7OqhQyhnpEyzYm7rtUMcTgYfqy5A6NlDag32EdE1U8q1ES9RUYpD8w2U4y0W2h
Cw2PC1JH/NQaQgE+UqpzsUGqOe17L/V2vlnvoQ88jEv2jE/hQ5SZPMNLpw4qkivGXpQyg/wiqv4E
ZLM+FDJjOAbHWCHj3/Rzw2S/IRy0o0mXJhXcbLN4bnQtQ8WpiS3qxe+EQbqXyl3iuykQLnQlxcRx
WMstK46KecCaMdrkXy0M+3LLZcw5qjAxaJOSWZPewMLsLr6czC18RP3oiSzb1WpBGKMhlVz61n/L
BnPcgyfL3vy0VSfVzfO2aR3tgQmhzeQp+R5bsbh1NPnoyIy0wWouAZ5i0SaqIDsgVHc3Q6bDgRQz
PtfaGXbSd+wj60K66zoz2CWVY4dOqgX70Z2+C6eojjKlwxuzdkBhJuaQII3sTYA9CEcMMAzPcK/A
AusxAhMc1tcSLf+CkNfRx3Jr4Ffc+KZ6MqB6E1lB2m4ZH5elJhKzpxRxpPbZmbH1WIXKT2lLk1uj
F/phobD4OixeSIbSJi8mu8DL2IKJYvZYQEEthrPrSu74ofPbyLIXjTYtKtrNSPww/CYcaEmElHOZ
gUsr7QBXe3iYAd54j6VdNHeubqLNYciXXRuaSDt2S38bA33oQ6McclyNeDylbiwJA1BhUnUh5wxp
APNsXFjFsqHIgxvYWqEej+Md3SYjHInlA5e2Kop9peZv+H90fZt49nwaZFbTtZnmKdjjTshUqM2u
rsKWV4twvJ/kh8E8msjQKW52ODGG9AP4UcC9NgXtQmxi20xXqt7+S4+3GtBWaqfLzhgr/ZzWQUXn
3m9CJC/mXjdpw7UFG/+co0NMBauEosYUeqJtHYt5tNUgfEO4Ym1jtEH7NokZ+/nLizLs4NnLGnUt
c+2VW+ozqiqdiWQhthWiK6nhTch1aPJdaebnWsu+xb3fRZnZZM9Vl5fr1NvJLpRqo7GphsWKOPFQ
iiKHbUuz8Df4DIObBgLcyQgkDUNrvGGy3jwwkNEeC7v3Xs3KySKiOdvVG94xK0xSbuNJgfuN4ULt
ELvoFzcm8EDGso8SKeUV64Ogk5nVO6GtzPH1rqWr48LrHq1d3GJO09oy3XvleFfi4dhmc4+KHW7c
Jqa8Yi9ZfHTALkJDa/5CfIpD47AK3jlH3Hto1iam7tZ4sHz54s45BwNd17YIs4+Q5Uj8HTAO4a9v
JH0KGye1JrXzPDgpiKvBiGp9CbaNgN49J36yi22D9cCfr8BJi9tF08fLnDGRrefBo0xXaFx7ZuIj
TNyttM1kT+ceW89k+iHmbGC/RrefkT+yBstLMLBqcTwHi4bXMtSlqo+yYNjuTp2zSYjaGQiiRbGJ
iVDYMC14bwHterXX5jY4dvoYh+jGwZi4QfUOHQplPAJsJIwaIMu+QKlUMcZBiWH2T0GWB5FFRmTU
2mUQ9bI9BlqQbDqYuar1PlWZB5KObtBO75sshIKxQLSj45wia90NtO1PWtF+G4vlUsp4OBuKGJVl
clqYEl59S29CvzHVmmShz/luyiTAU9ptB+T2wQb6KIhaRFuhnwBY0Xze81DkMAqqgvWudb8uJOmA
h/AMDOzyKzHAxdlpYuLq5hqqp4XsFJGeccM10ON9Qeg/FcXH4JbBTjXL16Thtxag2RKGfkTSxMKI
TfQMq0AwSN6qBkWBXuImh2IXh+lo9NfJ9uFBlyb+Mz35Igznowna74RilrvSoWAYlf256gZE7kXf
Ppd4BTZLZ6MbG5T86Aabw17P/M1eXYReP6V3winz+8AUUJJ9c7kZC+Zek1d8HapYj1hMBat2Nn4m
oJMNQ1rQQgGgolrgYA88ejO4Wflm1hwiK/r1x8Gu3F0+eiQj4N/bcbCqbjiir9FgC35Xa37rU+S6
Ix10Uip4DRPkva0etP5zD/r1rrB6wQcK+sMFzYyAmA+s4eWPssi/cNsX8iKn2n9qPYRqk6XPjwj8
jy645pADTHI/oOG4c1BIfPFy99FxXYC6ZXK1TdEfrMFPLGYZ+Zq7gdp4k2ap/SlwiilUjtttZulv
7SUmtKklN4BvepxQIrbVvMnAKIP5F+Y3p1Y19g2+543ZGOJ2NDDo6YvyDp5y/K9TAe970NV73sTy
dtEtLd+ukuBD3kjr1qncEVBwjkXQ1htkyGg7mR2Nq1DVcbgi9Oqh9QPngX46dERWTeKFYCyQ5Wr3
5QdmGR+GQp8nfKe06TEre527bxrD4Zap6WQSrxYsCEhMtnlSPB6Z/w0h7dQbJF45IQ6B/lYn7Ylg
t3ihsZ0C3E6sb7A1ncfazcx3I8kRUS62G8D0zQZ1bCaAGSh00nyIlDOrd730y6gRQ/+4TF17jFk8
L2OqETdcu3eLS8AV8aVeNLIdqAOHuZzL2R29b3HiYQY0e+82kE722cE4QQB15kRdNZVbJ+NE2QhY
o1HXetVWALt96Cy7ywjy0PurKnC70BEgkoF85oHwlM6XVQSqZb6t/azcJ0aX72JvkjuDMca24XXR
PHS1fQ5Ao9rTEco+s5oVn9nihpdyUvojBKP4oOdedtSdiYo3xj3YAkJjhEV/mfR3BuHPiZkx6gAE
h+ZySTs8qSY3RKpP2KOJpDmZbYdRplJGgUmgbiJ3TPTtguD/XmJ5/YxfYvjm0Fw5+L0IcBDm8pYw
0e6TsBzk/V4vEFtZrRshZ0YJRXVFR6zDFpFzfOinp8RghQ05Jw1BtASNRR8No+i4xYkti3Pg2xWU
oLh0P00wwt0X0rSzJQIsyc7qD3bAjdhhvJ3RliZbu7Bd2CBF+mX0JhfUizc8kqxB8DXMe+1S1ir7
AgCp3sGHquyoWlR5BAmtR7mfJzhs7ELzN301VZ8Jdo/vwXLUBwUp/IRy4XGqqI37uh3e6qqGvZ96
jEAlsveupiQt6xE5j6zG6ol+BU1V/Gb7ya8KkgB7NFAVYmXIeWWIQKjsN07XOLvJqKf7ErV4FzkL
bkHi2IrtmBvYG+pl2KxS8cPgqeTObKx4fvC9vBO3UBTxKQeJ0hGKhb7nmhQLVQN9G2/zMJgmid+U
m5k/JGRJt5P9KGSCXZllbMYL1vWHPEgrYrjyeVzOhMSQFd3nBl7oBqmtBd0ZigYuGUon1zrIFI+/
6a+jymVKGu/QFdyLbyhM4kgHmpLcZEgKWzKR9C5n/JNMkYtRlNmP5gEWS2UnbkapNYehD4wH1UrO
Akar7RdI+9EIyvrUTl1zxG2XR4O0shv8iFkYm4P3UXXCftfJLEV2n4EO2KuqeerhEmdfULMMYYX7
8iK5H5mcLIsT0eT2vwu/SQ7uUFGCGxIkM7Ft3vOST/oWieNibwMQrbseHs2rTmF9nmZk4iXnY2Rh
OklQ9nBazFbeNyQZvKTKrh6mySDtBNthiDKzIbzcsBo6UhWBjwVNTKHHVAdt0e9VMa5a+hy7uN0C
cuI1fuqpIrcSfyw+fyPfJux1FOftvFVmR1JY6R21ph4jwcEd7GYW7LpCN18dW9mHquga8LisTKUA
Mo0NPd1niTWSyu34N1ZWEWZMXOv0VgbauMfbcWupNPhGpP3tyCtBhaKbYWOa8wHgd0spNSQ3jL1x
nqG2nSAjuu2uCUiXaeeC8w0XpU4EXoaSAHLolhFWymkErXdPTb8RgVcdtCy2Ig0jLlhYXLxMJCRm
L12bQzu3rJ2I8RvVgafdSmuZHxqCNVeJ9gUjLIFUSW0BFZ20EkIlLvOmce1LHGcZC22Lz5KEa7vo
WfgH8MFzmeJl7cpq2yFyYNOZ5ntYTMF1VEmxRfvqHgo3c7ZmSQiaDrH8lOnGnQ9cetOjvRXh0CSv
vVfnQEJnmneN0fpX/O44qiqQdUYZY6sqCSj7wTqyph7xXoUD7YvW9F9ay8OTBBLJdpShQykfv+mK
jRXr43Kcqw6gDgdPkHIOwRR4f8oQ+APdBy9xI3chgT2w0u3It4W3XL00PoeIhIi3pf1W5+VLn+Ok
AfSli+0ga1xBygLBAdNjw5wyPqE2gUHV4xWpEt0l7XU29FAjMq0EwMyel9iqvcHQvEJae29v6IUX
mh10nTJJijv6D7oeDbYafBSIOqldkno71wGKtWv7R/l9cwzattwu07gcANLq36f/w96ZLMeNZFn0
V8p6jzRM7gAWvYlAjByCk0iKGxgpiphHx/z1fcDMqlZSatG61rVJS0ulAhEYHM/fu/fcgi1aAkVg
j+648wetNq+RmtIRqJpvbTS2RyePAVi5qYMzpPOjaKoObiXhITCPOZpO3kOHi8AfxPUL+zVKsamg
aWzPSX7Andun65DZ8UPfBmpFv+fCsvLgnlLqLtbqBVPROmeRtEADjjOFY0k21jDXCtKZ1vhF3z0h
u0cuNVlk/pr3CJPTddLb+I1kQ/SusNyHaDSwq9ZN4Xu62zOoDMQdBhVB7z41z4opOsfa/xXYhdpP
KrptpPFmsZJuh4nqiHjA4jYqza/gmrKD1Rf2K3GYja9jx/ArLb8fiUh/q6pcm7chAXjtiq4HxfdY
ddgbZH7jEhAG7iRMDL+t3OCp17u0X419j+CE1Meb2ligvZkbBLSd2mEg0YQ5HMV/brDHGQXJm5Z3
A4UDBUhliVLy8wKnQ0i94B0mngGpp83RLCgl5zgc2eoEi+Wkci5SRgWnHhkwqeaphsEMJyw+HBMO
NJM/+t+bjlwQHO9IafgX/igt3DczNG/spGTxcOPo6FV6epwEL1fDGr4FaQUcMdXScAN33l45TpJj
7ByPc+xgztWN+4ZX0jozWiwq5tILXJILJq9zVo4hieQULVVebIhl7GWvQ2W+WxCbftgnZbd3+vop
dDFZc8OvAbTphzTULgJPUetkot4gij9WRt9uByt1Nk4qs2MlaP/VHul9BaU+uXZMTwPCSZqwv/YS
9arnMXd8gJXfG4vr2q6gl+eTcyhsLI2OBreFvQsNxDnXToNpP8SGrc7aQKv8oZHMuDOr2EV6FW7i
Em7CmLA5a0SnDgUzHzoXsHJwMr9WzGWvO02nDRcM8Toqp6c0NOictZO1BXqHYBGUTSB643ZwwdzL
ccJEkhCw9l0op79l7TNXUgpibfS6OzY1zSjdSCBeavZF1rigOKw4NjeNnqZ7TxYXdpupdTBbNgKh
ePC6jYNuAOSHHqXHmvej4c3lNoXA8QyFt/y6CBJyP9Xm+RthJajejSnVnksg2CdHz7R9wguvWVlo
XPZuSgS2k7JFQuWToBiPw2MDHX1j5RP+tyDj0Qqr/BnrtHsqByu4YFjWfdNi+RY2Bv4gL9LUsaYN
fU30DHLm2BkKXPn6AHlRdFemGdnz5SIvANnt5OWOLmiOJruFqDUvqqeFFOL4Mo2JYzDjAobiPFXb
uGKKYuuBdmkw3O3XgpfBPg76uykUX6gQAIMEYbkN66nd8xxMG9kog82Vez+QgLKqosK8xUFAJFBk
nVxDBUSBI4jDLeyuDYd8VcyseYo3zaSoOQfBtiA++uiMGqIdt6RYlKguY9kdbeI/mZe3mFV3YcBc
lSZRRtggvTBqmlwaq8UbRXk3kF+xdmTZ3DdkhpzVtetiuSwdT2f+To9vqhKkbawLX2U5etblAEf8
rucDiNqsu/mhQxVA/oxDPK1FgxqMWzGpC6uDZ+Bw9+DHrIaWaVwBC6UCLOzzwvJWbdOFVEwkbqIS
aXOQNu1SCbHKfM1T6TzZWK14tLuk3VcQ4Fc1zk6KVtd2SSDSsh6FjTXeiq5qaT4BMUetNxHdgkDP
u89MFb6KKEywcIVBOPr01KabKUUHsLZ40IiVAYlCQc/Ge8Q3uaYEzSu/t6q3gfIalE99PWGlx9Mv
9WOFa8AXVTfswJzX1zgTzAfCUwsw6jYL9twI40rVJVL+DJvrDQZu3qesZeUVfJ7+QUMZe7QQrXdg
qTz3opm09iGtNP1Sz4dpZ1aMx9m8Kutaoeq6gTzF9qUxAu8MKo/5MmUQFlrl9remuUxqR7PjKS0L
ltVVLtzCpGYEDB8Lhc/aGZCI+h08PygPDUPoSzr8Le8T0kEyNGAm/v1WDoIrnScbYgRCkiVTdTWH
CkIckDZzY9GGutNnJzwmUDDXRRZNbxl2ta+BoSjUcJkx96PBhOAArf8qTOL6oZNLrIrGWzckbIeX
PQIENjvxRg8V0cLaAMKb1uhZg0ni0A9Ey2L+Sc8Juy8wbyOfOS+Zu3+BqdWOKznGuQ/1wl7Lxg5Y
TloyVNO6ukTv4e7zyAg3qp8JZVC6TT4RTmNIG0yDXeRJj3RvNV5iQ3WnU9+dA76C+tBS/dPOdOjS
aNHNFCU9yUBhT9O+TNZhpfKLDgCG1huwQY082MtItL42zQbMEB4NK0EdEtfWoYwM9wox8XgYJtEz
i3fQZcgg82EXGdw0nkNUUdscFdgcDPFOeu5K76VwRwNyD5q7xJ2ewymP1iZBWIgNE9qKRpDTK2um
ey22gq1D0M6mMvFdaNzou6gn8K9vJhOcfUnPpkyLyaTRNvuRNRo+MjFn1QpUBpo+N19j9D9rtgrz
fmpGpDKLu/zKdUjloNAjKQczFdj2UURwaSNeNokAdEI/q0/PYZ37g2B8Q4/VoNIoo62RooHwyvlS
pDP/XQ+uFSbU09AWi/0jvfeU+WiFLNYgMzcxqgafTsmzV6CL9kIGHsMQhb7SMgAP6KC2Jhn1+8HO
d3aY3MwuxKTSFoIpM1QmImNPVhTDy0zqh0rVyZUMO7jA5p7Cqt31s90/aSNjENPSHi3d0Lf6TIU8
ol7YVT0vaoI7nnMvqa+Hrr7uShzZK710ebUby0YwyrQTWGpS03QzOgA4N8+RfL7amtNdlGYB0oz1
HyUsqR4rG0VwOwiivfLxvK8wTDVZ/fA+i/3P2PqTsbUBqZhB7/9tDNlm0Cpe/+6X/PPv/DW4dvU/
+AhdoKeT9sIfRN3z1+DadZa5tRTIiExDfwcQ/mtwTcQixo+FdKhjNWTe/b+Da/sPQXeNQbcO8N6U
3v/LGbLoPX6YWjMdR92LRFMI9Kjchx+kTCF9Ku5sykPT7AjaJDI5z9e2iTSDoD9PrRzRFOepZAbh
e+zLPpGjfFCjCB2VNER2zg+6Teb0H9QodR3OII5G3rTM/zbOlEviXMyMTO44/0Rs+MtD4Q7VdcdG
3CY/HKqxEtZK6vydbaCzyUx6AXRbqg3q4Prf+FWcSs+SDqrpnzyoszGmTC1tQv9GkKzYxGsfKVG6
bkFZHH642X4hnP4gYn4/gWgo8dZa3BQ/yV4ZGHcpTfl258WBt+on8xocjXwDVeyDZcK6CgqYaSBw
n0pnsPn7g3MP/njv/HVw5KLLXYxL6YOCukWzH1hV2+5AiEnaF2OEdZ3twe+P8vOFgwJkgD9zbQnl
86NOW4UuYKM66HaNB7CGe7Og8SMYzPSbpMppHvz+cB/iQ/lRwjR4tkAHk04iF53Jj9o+DKgmu1Ew
+OHEfpMI2++OZb65IXkdRpafySCpVr8/4s+nEWE02lS0KABP9Y8y+yAiVNm1ym5JC8f7F3h0KXWv
3Pz+KB80i++/y0SV4hHhgQfcWk7zD/IUTD1GkdZpt7NIRVxZmnaOyPk0GbDiKCTFJ7/pV2fxx6N9
uDWgt4Z1KLKOlLvBWC2Za2FPvVwl7+2sBQaZpi+//4HmB5nk+y9EySNpO0jYxB+XsilKSbEbeOyM
SNonu7RpruvL6Kac3X1Xhime0RsHRyrMIFu9sstw2eFaeybgS36a12+6EdFhMzjVt3G0EOBIZIdm
0Na3M7GbmcMww0jr+ZOFyfjF9ceZ5+iGpFZehEp/vzKuCiW52DxG8dAhB7ApAgmiH0W/0TQLJawC
3VG55QAILgUMTc/4iVp3vOoMkDYY2S3qwdA7GYhXPnkWxC+/2oLd4QlHL/hRoZ14mUxnkbXETkYb
QNfCJ01tGe7LdqPqUBHCZCEkGiT4K+LdyNQt2OAqTML470bGT71eEKOmklVN9s3KMjD8BQWVNday
6SzszOaS0C/tMKdU36SGo7d0UGDWbQOjeoi1+7Z3A4xVwPgaap8tcY70/qzG3eCPPrYp1Caamt0a
5am3GjNxFtnpl25wCdAD8AVpd063jdVR2WntiTbqvIefNyMnRYQ/QiU516NJf9Caut8hYNLWgZje
0sm6aV0alwS0kZ8uo/bEJxfb39+tPz8gRChQGPDU8w52PvoxRxWKTgzLRVekQ6Vs6mJXJ21xvOvm
YKGw5cb/+5HkiPjBcJ0I9tye+ffbzGvG3gXX1u6aIDgYyt7gEyeAwD4Hak5Shicff/8Lf163QTGw
2hhI9jxKnw+qZYVepODatLtkyirKb3s4hLQ0Ni4qCv/3h/r5NnWJIyADiMAW3bIWK++Pa1vYCaT5
fclb0O3FWanVxqEcaIv9G0chupoyxcKt9PGS5fRH8nbgBGqyAV4KXU7b40J3r35/mI9yb9Yxfo1r
GC7VIt2Rjwr8NNZmQ1YQCsYR+TyxdQy68O4wYUEwQiSEQ0nBja87Fs0j96FBS1GyOftsWbI4aT9U
hu9fgxLGECh1lnHJh+tX16U9x72jdrgUHVJQvGwbDEm7BbUYu2A3Z/tA3DzZhHr5PSsH54axPu0G
1FEX+TxbR3ZqwSdXwPzld3IghRDO41GzfnithLamaUFkqV0RdsVBb2g86sROzEVbXwaq6uBPd9XX
d5l3VmvTqWM8vSYkx/Q9l6Eh3o7vmTFCyCcZb56Hpy7RGMVjt7ydCqYKVRuLvQCPeyym7FLT28+K
i1//AA+HBxIgrN3W8g774S0cGI2XT+7AScWlGzZAsbvBDr9ErGLrqnYSP1DMHHJHtryxmvw4RfOz
Gzt3qgEYS4wZdFYgH5tIL73rkhyDO9eev4NiLo6WS8zlUEE2An2l8a5os20T0zb75O5cLvtPt8UP
v+DDMjK0JIyE5aQQ6ySEp81ecUQkihVA0/02xgtidRJEa6IfkOKBHapoQv/+K3x0z/15Z3rISQUP
owFC6O8nEeS1TTOjU7tEi5ZeeOaKF8qqK8fGsZJ5+muZ9eODYxrRN9WsWzJx1kjdIh/CLY4WGJEm
YyvMpCh0sfwOqFTMDo0ZB9yNACMYqIXG96kwDJZK59axiArXk9IHOfsA5aHZG73QzzXoI/sZDZrT
67dy4kCh/U6F8ZT45Jz/XLrhvSTfzKZCkCRIfTjlwnQdEoBYEOokeyiCndMnma/NjN/wdVuf1Im/
WLYlNTA7T9vhgz8aBBjQyqJh0dm9u+VjFxeaQdiJPaL2+v11XHZcH+4kjoSjFSaBdPSPhT0t5Y4G
rOBOasK71LDChwQieLbKJ3YTYkpRUelSIx9I4on+/aF/8faVyMGlY1m8mCi8/34HMexFyJxAW+2c
iax392p06hvdDt4yp31hyys/eUG9154//VaBOt0w2XDLj2u612sK6wi3LNvw4qazqHuQd/tTQT6z
1c/f9SC/K+Ns9MOporixXUxeKmQSRrXy+5/+y5tJSJs3i+XY+sfXcty1PbmKPL9Qwltfr7A8QArG
1R6TXiui5O33h/vFq1kih+cyG+y9fwrOw3mZhnk3cpFp8O0YwQfrmYjpT/aIvzy/Bp0M7iROL6L+
v1/QRJHXaNiV2rFHbtZuPyJvKBJvTdiRdhiUxdPZM85BHZgxYsfJQzcAj3mvnc0znqHf/+afN+Wu
JGvOZFNuE0j78Xkd0EjOkUKUYPWtvolCMppVM19M/RTi6zRwu6mcwZfTknWUdvonj5XxqyeYaoiT
Td2OV+jDctFiNwLSRwzaZNjRC2hsIu2HJmxPitkgkjZZSrkuOz5gpU2eRkEt60z4elIxtQOgFaVr
8pQHRFcWnn6zbTsDBQGZDL8/S7/4mq6HYZ81Bhc0E8q/X7JIA3UnClnvABVAaLbnfmOr2kP+KuJP
TskvDuWxfjL9WWytkFb+fiimaUiyG6feteh83rDTOddzEeXNSpP6v/GzqEHRsculpfbTqlYV1cwo
2q53woybaw9j9LacnOAsaZbwk381Gq/+XD1+TOX8xSLGkWiLUCI6NLU+3PPmTIRg2XGk2EITHrRF
dQuxy9zwdptX+oinwy6j6ZPl45enkv21zagMf4734aqFoV60XiTq3WQa/ToXGKRixKR+o5vqk0OB
ueG6fFg1qTTIS4Q26xLl8OFOdlN8MMRKcYvYjV5v5TS1TCwje5h9kQdFxrRFmb6kJs/WtdUP2pad
I9hIxJJWfp27gocL3x6hsoGasnuz6rPIb3CqdKTZL0xvnH7RczmIJacECfo2jJa8MFUswU4FPwkY
riwJOPV6ARcEMag1nQkSBnbxBOpsg9UDOHeYRsad7HBmM+YEUbNNjHyUG8urIvMRY3qcf5cJzZJw
VbGDic7GiCgCUKlpE+HOKY3pQHQ0+WARnFh7o+mVcUQaN2o7hZhBXQoo6CQhtN0UXEtlZMRfdK42
bPOhUSkpKzZIG79Iezu8wP8uHL8TVplsO8LUb3v861CZC63cE0RewKkIG7NhioysnVHsovixy+RA
sENYrd0OxO52YrAdbvJqKppztB4Oc3rpVQOkNTV4qT/2aDT9ssfacJajYtTpO+SV6VfICymuYsB8
z44K6Jc4QTuuCbQvm1u085oD900l0xWQVEbysY0Ca9Jqz7nRoR+Emw5MWXegiB3hnI9evAXmDZ/S
rkKQvkol3q5oeEVtsmBp/+maiX60Zvj4JYlQ9Y1ZDrhY2eiXV0lViX3udtf0ebddL6qHAPTIY6a5
+k1byGEVwNDbaxOqHqv2Tl02bYtabcfIKW4CFNm9HYWbdC7iHSOvwU89QMth1x+tfkKFVqnnJMWu
IToTBlkyWtvcsl5tcEabnhEy36FxdlKhePPsWELnXfQnAyI6YtzJTrar8cVp4fPZHSASwt+e51ri
ICVda+GDwbrO7nVdbqQm6yvh5c3G0IsYzTKyF+j6xhmJjdGFNXA92C2QoxIH9+NsiZ3QjOs4RuEZ
TWNwCDybGL4k7SgqlLPOeEv4SsGnTrPxUIMOJ9h8WtLN09M7GHawm2M6jqY/6ylKpRadVRIRzpI6
Kext0KjkvLlXgWvf5FpEIs7gQqqem3nNXLjzyY8zF0mhfhOEWfVUuOCfiwgc8NQiPB31tnmTWg3o
vYVg7tKw3jllKRayEQO/IhgPlh6bBzU57oYmxdE0xm0sKgM83vSY6x3513Gwxzp0G3fToxiJnBl0
b7FQBY+5XCwDYZq7h75zim2v1cBqhXaXem5wVAH8GBmW7kZPyF7IhsVwkniMItk33MSN1l/VYcP4
uxsXqbc6b6fAWWXjjKdBI6+qHqo9doQYS1ie74vc7d9sxaB8ismJTP20j1t8OB04HvLXV1SaTRhs
ythr74iywB1mcvM85KZuQbCv2UfwMmWRSEK8XxXn/rIeuMsIqENDmRoHnRD2jYbqZUsGPGEgbVki
GuN0B8IUkzp3pyEc1NcpahyF5NMM7CH1Z2U2X8nm3upIaJkqw5+pdo5mlt/AkafV3krRu/m52+Dq
m0rDcc81TYLOSR0X5VKG60070p7VFU3aOt43AKDJC0qLzJ9R9N1FdPWvzCyB85cXaXwYEnCLRNLX
lwbOjS2yffQaY00zLoqV/iL1gHrS89pq48x6dlbxkv2GECCUCA/Dcp0M6LDPx1HJW7tPgzeP5n6H
rkhi5AL6q/u42McvzJnyt6Zq0JZOuTKeitFpfLZo4uSBJ/hKYOOAolgBb6BiuXMnGxaz4nMmLRsR
dpv1cS7ZT8djgQHMttQDXTjGIInCWNT2HXdCBHThEWVg/a2uCANKR61+dGoz3idkOaFEG9t0GyML
fxBljbLBKQeEtYHIsb/PiocjMzVSR3Q79UMpxZoERevQ1WiPHFrIG3alXrNN2Tfl+7wiD2jV4gG/
r4MhnElWjQ38QtihyDvQbdx/OaPBQ1VE5D4MrCPH0EuiW50gFATUTWduFadTuydHkp/oVCkOxxD7
0h5geH/fm2M3XIRBEJ5it3b9Uq/mC7IW3XM7svlUi+RLm4je275FFLaiEqmPsoqiUzKo6onWnbmh
cSZOYcOjuinKfN7O6Ea3Q4n6docRNzzhhOydNZBoceIhqnmouLo04etjmnv2yYmi6qXpw+banhvj
TsWc7xiQym6eimnnRpxUDaAnwhCzvq4QXr+IZYe5LuS8RBDVSbzjzMZ7gb6YZa8brwwwXijREu98
7lX10k5V80iyvbmZHaf+VpI/AKmJjNRsVRcEQoV0I3ad16pX4mDEyZ5rDTZY6YWnMRYxOigJIvN1
Tiwb9W1lDhbJAdZAaue5wWsZKZqXhKCi3RqrehEBaXVxNiJQKnXjrjLIEYgFtPlKRuGlFF35JJFz
+y0YMzSmGtQlnHkUkaKzzE2Ii+44NXrgh9hZzxrAVns4uuMXV0tYF7Gjoengb+OuDE+dVyN4iFxB
BU6QCBMLq84OTRrkwaoFMpL4YEtJlshb/oeg9wi+DIes9ZO5KrvVzHNOG6tQD9NE09p1ejLTQlBe
QTBlBMC0y13eQYxk5mKK2xg6+r1dtuTGDSVfElR3euO2TfVskZx0q3kzcUVVMUSnSeYFGFW7aB4z
OO9XrlTdvV6N6U28XG4T7f65SIzgprZ7DpRCbfYcBwktRUZ0shVnDWXbdIUpb3rT5zLeaSNWIKQ9
bnBj5ol9qElTPUd0yieWM2ZoQx+/eBiKX9HF2tpxbmiJb7QcDY9T0eZbBx28zhX9FlR0hdQQvEmt
dNA94PwhgVSTwY0dseXCgIS4+wDGEBt11HEnzaiOWXqlzZ3GmhWdsjQpDSTwc3mlWSRFMzHNFmWs
IvztIK3SLdaeat9Kl8xfZhd5QqTkUL8hqzLu7bAa/J4Mvu+4trtuzaNXX7NazG+lmVTNWpqgW9Cx
ie470SS4W4Oe0DWtqjgtuNAatcPTYTQrScl7N5uZduO1OquZI/vvY+XW121A9E5Xm9Vl20+4lAn6
vDZaNzwFso53rQc7MFaudWAd84Adojo8FLBgH+o4LvTrRsMZ3bOhzMWhnEpOHizmC/bEwRYwCpEd
aAkc+qat1TEQttynWbntZZBX4a7Psn5vy5xLw2vz3GrsFNipE8ZXEPyqbVXY6ktTAbFo5uitxUG9
rRSiOD/oK+tFeKHY2lU2rysbppxpYagSvSV3BudrxUTTBhXR8By2aBxvDDJBrihChtUCCL43s9CG
aV7etp59QdgVHLgF6I/Iq4G84SWXNf0fvYtAYOVkJuLckyd9yI3LCF30bkkU2416rF2MUqtOBf62
WxlARwTTgf2ijfN5BQceFJ8h9IOI22M/TRAEeTYvwDI250XoFEd8mEhvTIsS0GP8Rwv12QPyekid
YrxJy9567UHU1ojcWdJc/mFhRi8kLJ6xtc/GMbEfqLdhlCBUf/GGZc5UwhWms3yosSoxLYsoSPuk
nB6g1oc3ehENW2es9pIYad8jFidcxXW5d4f5mf5f/jXNybrlncNJMtGGstCzw1k7Exmu6yRN1SHV
dPzAgaafUkwRW9V1DL5I3oK2OwxXtpvqO+I01G1X41a2Bi+86RQH6UTgXHW6V6xoTE84uwL7mRAf
eS9Vm8E4dO7HRMdiTn4NdSCl3CqPp3JVxkN0Ebs0bogvOATWbLxEejBse2K9d61pzL4bd5YPRB6k
ZRUB1cVuuAmnSZ5RXNgPiS12ZNaVWx4nFuAyYXcaytrbeXBv3zA8mw9jZRuXXu7NqBZy+66KxmQ9
UsNuiawWZzmB1/ekpzvXE5n1pHSpsd461IXIL5twE45j9X1m1IThImzjSxguwS25w8BJlyRdlrWK
wBc7TxSELfSGDBBwWqFM6xyseybarmdYpbAyibYigiHDGGVr5+WUjNezbj60sZZveRS3sTUnC0cc
0y0S8cvcFsEXDMSUGTaYNpZAwIJuG9+4OvETaW65Z2paTOVwGyORIVqzGnHKK1ES+TJ4BkMLslOm
qewvpNB47eSuRoqlLYtjFY7JCeDUoiBNZmyqTVOwLc00ooBXzND6Cy9ok8fctOWODOCCVw4eCfKL
lrS8LtbGKy+w6vOJZja7Ogdb06prkvQI4FK/EY59bBK0yEHfrntXpRegN8szVQzwKuwyYziKvLUY
VHtO33da4U7aG6PmPRJBumKf89yUBZrXiIjhGvT1OnEKUP593xqP4wTsvzSdF2OW3wN0jE9UrNlT
pvKSRUtpX5xMaFuM2uGmdbr8epJULNnUYG1DCExyywjZiXJo3PdAt+KjZpWD7feOrvA+pgA4WDRk
edKGENZ5MTnlifbNku+DfaxkDACtj3tUJE95nhTXZu3m18QG4X+NyV4nxmNoXzNlYlBUSfRaBzpB
jKbGB9aoAI4C79DtBOFjeGyoeLhuMZucPJLkcPSatA5ZBbNo9sbqK29LemdzZmAKCWlIHogAMu+o
j9mZpnlkH8N0VK/4d9tX1SmaCGrq8rcUBly0UhAkn3QcXy9pBCl6gZuOKHHH4IlkZDbhdhAD6qzm
QL1qAgsEvoLecwjUEMVthkuDixSNQ0mIY9uXW9sb6Gh04CUSEvc6CpyyyMrbSHY4MLywDJ6EIfg7
XjViq3AIDRE+AbXcRoWFN8fvFd9ykwBpc5dMK37VkgeKFS62C3UWz6Jl36gXvYE5pBricEvxyifP
mjuWB3ug/ehHtjdp2K6XEgBpPz+JzZR3noAIKXzZEBu7zt7TYjVsDHJNkh42jaYnVgvmgjeuglDk
b2bXcdSuxnHjD+g5n/48mQJhLAJtxpNArpSOMs0xZlLB2U+UO8sT4Rpno4JO/N4UgCdT3MKQhYeR
xQntHpQFCKZB8sGnN+gCnUwc81CNxCzOpqYtb8WAooJLyLx1PQQ1v4+IWvohDb6M5EyhYgBKQYRS
hKi27d96SW901Zmiii6kZkR36dSbu6IrigfI7c516njEJ1a4ju6GqFLTfqQNH5xIFB3R1/U6twdV
Od86LgIunpwQyTP/wx695prw7NL7h8BIX4az2Gst//9M2u5rzO4lXvFlvfNJ9ep7jL8aO2zX1Aww
PAxCOz2N4ehnOs8PzkKhz/uC/t9xiBWRJtyHVHQisqvkoMuGJkrDbCVhcSGglUfdZsPNS5j3F6AQ
fUkJICGWEKyZ7OFT1Fv6ul5KyMwpTOhdaAO/GLASNgRv6Udm0s1+yDvrOg/d8RwtU3w/z9HwBbtH
/2db/T8a1E80qEs+9Q+d4Z/ISVR9FFDf2n+Ub//Aat7lLzGd5D/TQA6v//1ff/79fyLK5R+e7qEe
BTjOVGbhiv9Tjuo4fxg0AMD+IaHwGPjT2/0rRdty/4ArjHYMPSoNZ0fyR/jN2ui//4s/AhVoLcIy
uehK+KN/ppf81cMm+OT/RM5+HOTYHlNdMOUGNEhhSWv55T8OyCdEagRCj/oeqg8BCm9ZqJ3GKTgk
dGEL3tA4jo5KDzZe0D2y+VgllvJ/OHm/aKt7H+aS71/BkpIZPb/ZZG71969QYumvXDfU92Uz6ZeB
/TiRQqr6dFPQCEzBIuht3fke81G80sFFVYXJzoFxuhnMr3ZvrufILwhpuNBJsotLsHi0KivHuKwX
cKstwByBR9aoskCVfCPTmP8pAnLOCC59wiuEKD/iJUz3Pp6+qLncxTkIXG0zCY9453bxqqTyvNZp
N65mvWUvqDXKsnw9pQNiFfeTCwSde4LVx10BQWdJJwWx4/UeJ/O13Spc4IRVxURXQnxzV1ZrqY1K
z22tu86iottgq6Tw9Npr6X01LG2jQud55vVN4qQBf8paM83F9OKtdGKVuzLDJJ+vmy69GTUSTLAL
bVLiKfu2euqgVu/irLvCLomTo3iZIfu1CflMON93+DXJzAKVtyIx7Fs+EnaYYjegkB6+FXZIa6VT
54UasGzqePcljrpy3sapdQpztuzvV/0/i8sniwsyV4PB0r/mTj+tLpffh38cvzfq+/TjmvLXX/vn
omKxqDBNZ5CPMOpPIftfGndH/CH4LwgbddaV9+XmrzWFdAPURY6DzAmoNXIY5lf/u6Yg4HRYCrhB
kMQyG/ywhvxuTUFb8/c5Ek/0MnpeMM+wxSBZf1hUTOyp1CGi2TOHj6110VgMH8KySc9ocouzUUcA
eMuEMziWOnk6hz4u2uuo0vqcOxI3H8bynu5clJJ4imXMIj4Zgo9ZjcxzibaOCUVQOhlrYJpCr07W
86gNlyELmeUTKRvcjWYhHmXRP2fGxCA6y+8QNItbqJfztWq8u5IlZI0tDit4KZeGhDBIHUeyPl8g
D6J54iaucaMIZ1y1eMcevdQgDkbTYvOmKIb0qBqyzBijMKrBaEvHy8HQLZzxMmdf4BuaYdwEs8kD
TGDlGw1jauaqtNhf9qCYDyE0GKJ1Ea0/Wz2puPOgcMwvos33E5XOVOmNE71w/ckcIJlIJ4itbw5E
LszYamHy0djNO0Scib12rI6/qMTAYM4slvg4mbOze+iTuQ5xZrn6o5O384WsSIBBMDHvqffnfTuo
5tBrHUc3EPFC/KKvpOLWWw9xScdi6aiSGYpNkyw3Zc1kArpd7ptVqH3tOkvcui2m3pXsLOO8cZWn
7wb0OfcU/4whmCwZjw37KzIeR51Py/JoPLlVpr1Rqnjr0aqBAEdj9KplCl4+6rzd+/dTy7fizmaa
lfDPg0leXrEqoC8xF3SKYas3XbHrmF2tIR+wNpWcZBhI7aaYeyzKThub56FrdDSkujZNh3OJiDba
B5mRznu23Y21jYRDxqDFAKFcJQGvDPpoSwhDeegbG4UA5nBYZnFoPmK/c3FwVpNLKixchn3X5twL
bpUek04pn6OTE6AU43MbAugtzdzsvtGs7DaqmumxriJmCOTx3iVz724jy0TmUkPpP0JLC8/Isoge
kqnC0eRN4kyruNigh4kaTMGprPtFzJUwWdkIeHzFDlijvUpF3eIm81q5RIzPX6Gf0fKF6b/LMtN6
G2jywWNtcuhhhjWjyQjNJE63XqK30WWalXwWyE6wYKU0AXnZVs8VXvVN6SSbFsDDTZB700U80/6w
yjT251YP4NDlUMb6cHB3xgIpbbLIus86N93l7ogRO5XEN/oj3R93lxq6um1L+1G0GVgPoT/gbJtg
HPQ1kJCkm7V500NJyMNgbv+HvTPrbtvItvAvQlYVZrxyJkVqlmz5BUtybMxTFeZffz8oyb2xnOus
fu+X7pVOiyDBYqHOOXt/e62l6+4Sfw7XSKNq5m0Z3SGGXmQidr4iDjOvbjUA3TttWC4O9qm4dRJb
nrqoDDCENoxN6TUeCEtut4ie5lNsNwt9iZ7zesgd62mUrlg5CAApexQ598M44LrUGT8Ms0xYVAR9
7Mq2H7cIwmlTA6hl7DdoY9/Ulr50VpDejL6VQSgbnNvWiYjBjnseoMLTsIejIg/TlW8E9jkPmgSe
wCi8zz1V0CWEVv11UmnKsbE6Kngtm7lmnFu6FhPRVFbMsSfQfeVa8DcMJcElbYxUETSO86F5wARe
p4wKsPrRjbNorWTl/ASvBxZN2sTX2FDVaRZ19Wy4DgbRhnJwa+FHRekf0e7ellgTwR/mLZmYcanJ
bS4dLMRsFJLKfRCb3nWnKxhx1V08zvpTwOe3jqC6x/RYF5WnwTtE6tSFabwQ5jpI0nDGyNQoGZmu
8HWDDI49mrteSS9W5Wb86HqRmBkNE5toqiK9glEMM71XVOEiNZn+Wy5WRRX0Iyb0CAzUVBCUIiBN
JrgXq5Dws2rqGCVSLVGcmkyPgmFM0QSUeVsz2p7VrfIzwuNLjFEArOc70+3ZlTQI/pf3nQX4OEOu
sSBJoOIXSrMMdef7r6hGxwTFkj1KDVBpXeztAmYVGbMrb+IJoyq33I8R23Ndghfh5zCY99JZLtTG
NLWpC3knROvMl0EMPXPfJcvqmqf9dE2ubzVBLZwR6XflfFEofP+AUv/3uPQvxyVoSD4qlf//uHSu
Ovigrx8TFN//6i9HIBWTdCmYbGBayPFdZC1/npYCm3BFEI4ONhZ0njw7/68Es8iJAgMO24dGPaJJ
Djl/HpdMXvAPYDuyfiFQRv9Hx6VFN/Q31Y1EnUxJYNNRddBM/YTlR9oydGACeMCXIU9PQu/kvYAb
dfH7pN5VTeovUQieeNOGFz56DCMgs5ThyVAJI3dFFrOXe/JcCVYwjymgIGjtipXvZ8ajT8giae4I
QraV4Oku43S8kaXRfUuVKc80svJn22wwWy+nmSguwgtD0nhZ7x7wnQYhn4yEGvYtTJBD1RTuQ1d2
4/XfvrJ/KAEXEdOPdwAdIQUotwGeL4LCHyvAdEJjXfV1fRyVHG8JDgxwg3XBGi3c8rl437++3gdR
FXccEwjiIUiAyOGQqP14PdNgBBZlWX0cDIUxJcrfImZh6yTkHvz6Sh9OwsuVECZS5aPGZLj7MR5z
7pAWaHqaR9pd7EcpDV6e9sbet8LkoTdze4/VPLz/9UX/4eN5jDkXgxN+T071P348mkV6KEoN7Its
KrBvy+FZY3p16Fw6nK3+86sBMUD5KHEMYhv88WpR4A9JWaTMJsXgZJdSMdMeXSUHpD7B46+vJT+o
4Zf7GRDEQ4CFxYGHFLcfLzZmUR4XmUiOTTzm1tqKmVVsmqZY4rQl092Jg2anOnkedNYfZuTF9TbR
PPp//T5+vsN4QAnRsAVKOYItPyxYaDPeRBMuPTYdDegN0Dqel6gCHgO35rny64v9vIYcslXxLC42
FRtVy4+fWeEEsVrl8lyW83xX+UpvYF933+q4zuLjpBM48l4ZQEX99XX/6UOS4oEowXUDD/32j9fN
opQONLHhx3JoeOD1fJuD1S3FQgLg+j+6lo2ZVdDvkoIUDKzbH7WVdmJQ4sRBckxkE20gb4ClqqkD
rqJpsJ5+fa0P++37tRxJNImNFNZGEPrj50qL1jWUwRqap3mQmyr0ilOeUIptfn2dD7LkP65DQg6i
2/flav54HZCguEiqMTmGAr/UZhxSPhTxK8Biew4jcZLg0BzpiyfwQeCnbAVw639Jzviwdpb3QBXO
RiddrI4/qc/7SWZJA8GZjCy4Q7XsG3MVzTTLQmsqTlXkM29wrelf9vP3W/i3DX25LIU/H9zyiXxC
TPHjR+8jt6/mEBBj7IfWJ7K5ixNd9um6Tst4r6wapEdrEBgKj2WMvHU4UNIdwayNv0s3b9RXitXi
lIVleIiEUZzCJOQ/5tS4+/U39E/vk8KJo4G3tFvxrPz4PjPHgn/jGcZBIO1+m6bOVuu+yQO+otwd
3ANJBbXHQd3wPJRiQ3YRvTkt/TMsfV1W2VdBG4THMfGt68Bwtbdz+7hKN1UceP3+1+/151XrIz4m
QELiwkHG/eGtMkZuK0ioybEIBB2SjPY/5BWt2+2vr/PhV89X5+PUWDY37Ng/+1ESA+1WCGwbRx8H
7CBZZjqg25yrXNvOw6+v9XE7f7/Y0pHi6ejQ7P7YKJp87Wh7TNnOaQ5tIj/sN2CNmGDxU9mBSY3W
NTi8K9mN3otRlNF+rCAK/NubeFfo/7hccRjSL0MRzRcNIeHHZZCr2jD5ZSB67AY1Hb13xHQbjFZ9
xDMz31F+ijcnRi6Bp+R9bhTTEE1QFPu0W4RzpfEAnADlTbdtH5B/B5+Eqqgh2yJZm1kBqDim2RXj
grmfcyv83o9d/uxP+XyZc0VfKGiU++A1TMVNVNRXPUBlQvFIfrl3usx9cONaHFpJfG9MbHG3EXVi
PEKcnO/goy39FWwtN4US7WsOQ+YNcH140eQHAmcZy/A7nRiHmOuiQZ9R9nV4mDVgsF3qIVhaWZ5a
zghVZuMSbkz7lZhi+RVEm/U0WNYCEwJzh9JgDO3ved/aw6YgjDem7ZLGl8jil207bC1S9clbF7N5
V1htv0eV4ZvrsuDYiMNe+BF9pYDgLYFVfD/YgsNQ6TG09b3O3Jag0F58Gtn+fSVT1hu//giVYLVE
ZNa1Mu58U7N3Ct15L7MdkjUJS/niLX+rnYq3MTmWTfzMQGCKl+TGY1BZ04XnTP7cNNNw8357Q3eg
TVDG4q62Gshi1ezl8Pdk5FonE/nfhRDgoiN8caEJ0z5lt+rkdKVgnnprn5H8l7IidRER4UhRmeeS
hlBSc+8mUoWpa4WICZhM7E8dCdfG2kS5f2tlEKk3qc3rDKCJL25bA7xpvORNoagt6UqoKdoHc5Aj
lIUh8JBGlvXklz0ENcPk3hYYsN/yqDB3Ej7oK3ndRk63TzMkD5Hb3DmDMcKXz1D5iL4Zb5LJ7mOi
uGXyJXdbtqal4pWTsBFfL+uwGKrw5JNpCMguRj2xmeEJxhtZ0Okv+5y19N4tjAZ0WnRdEz2tWkhK
dxBGyT2dC845XazraZ3yAfSqSAe6N5oFthXAPV7jYRnjjD6r18ns8VaF8VgdupiKAfyT8ejGS+Kb
iOzpAp8rPWV+vg1mA5m7sscbRKTNrk09eSCur9o2OiQp06jUXdTGyVH4qrxCkWuTrJQjMza1uEir
nE9dI9yD5TnhY9R6eAS67LVxy+xCukeGPM/xborZ22cJ8oMG9fNeJKn14qMNWuGV3AugmXRXUNQI
Y5zXJiO3tUQwuQvGCjKLAlq/5q6az0HS3yRgy06pDHZx3Fi7oYurE8GDNAOMrkaKMMAXL/hYeYYp
Cgo2YBWAIStTkwzYOvYLQmLrEhXJDQzfRcNhjUiIfBRZgWntnCZ5ckO32E66Nq9yhtTAFZ113ZbD
HkqMWGczvrx4Fi6zMATuSRDf63h6C2rzte4MDS+emCAYCkSozb15pHv5mWk9YmeaRXA7R5+nWleb
XwrLPs1gWGh/JNeE2qO5t93Hvg+vqtKLPrewpbYxMokTClk2YHs5I0ECv3YTy4JAq1HJkWhFAhP6
W9xcZ7C7k491oEg9HTDNbkhJ+daAWztMsoJoxvA9RD8dWelJEhwKnsKIvHPn5LyhKiczaeGozE8w
FK3dOOQhvPreDK5aKZsbDkp2vBlc9osMuB+yuCl66kwxPEwVLthVpWtU2DXxDJfMA4kVFq63s7PW
/z0tEnUcySQ6xk2AuR/Mh3VRkbj3nWG49+gmbq2567bL88chSbXuQQLUTXGrW28muRU7x9E2bI4C
JsbqtZo4i2Bj5llYunqNmSthKyJ9IrJDngheFHiHOqX06Vh/ICuncodqxd53aCzJOK7N4kaL9tnL
gdPIIemv7Wb2IYvlFaG6rZvZ6SK+KugDa1qSaebcClx8O9frok9tGg1XVgeiLgmHUzp0okWDMwRf
rHQkN9GhN0XDmH2SaHUVnyziH5goQmU4zH3Bwkw5O1Ai5MYd4h9vS4D957LyHQRibf/S2WAyW6YR
SI9KaT6Sm+B9Goc5mPcCG8l66sAChlXHeawcm0MN1vAa+bZ7p3JNWmhV1fgMGu9ABR0cglGiWahl
p77Vpu9v6yGdTk1rXbzCFqio1ABxPpBnjE4lR5jSwxCaB3d52CASI3HEovhPY5s2BdJmIzHoPrQw
uflSg4fR6bAhxWGOhMLo7a/jLPSdB2z5CPRPkzbTmBtm8NsQYGxNCkPk7AfPyHeu3/bbwU/sp2zS
1W3UamtVhDI9hmljXriDycYq+nXTh3LfOw4LOygvLu2DNd1w8zbCq3dwcBOcgyhiSFTPzkPoNBL9
2FDtc0RNu3zW/mvX8pHYaJp1rweGXn4LyGqVhc6CaCvNHImX1KtIh9FzKUbruhN+dSPmkGN/YEHU
rjWitC0kywrOWNrn+zwrvRe02zRxqia6Gg3HJz0ltPPjZATTt5Zy/NxaQ3eH9HhkrFwzFFvTJuaZ
jkwJwXfVO9dU7PUegaNHASCrE/Owll9XW1+GtMhva9dpb3w9jgerQeS6TgLgeTDOjoNfEicmQ1wR
SKUuaVdCCI764i0rG8/dZgQUfLIjB4sYE4vvgVMk6HC8ujoaXUkvKc3Vs4feveCltwqwQb4OGGPk
axK7+1dR2ymuIEMbx6juOMv6UhDQGEPhR2JMnkM4JWtRpVu+8WSbFeZXWq31JsGOn62YfeptSS73
xQu66s2TZX+iZ21s/IBnYBNb8x59drhBldneStHrt1Rl7NlNzlODTUBlULewWTWZ89SKrvT0V1ga
QPiRT43x9xjH6rpNNBDMyG5LyqTW+N64cXkZndoka8Ppnowo7N9slfgvURfAgyvJRWAAAtfL4bE3
FTlcfDoi5cFwCWwxzTRgUOH2n6ZWJteCiLaN4S/RLmmDJihBo7zmFBVdT+bkbdolCMYym/DoVPlo
8a7a8WCXqbjYA/ToPBt4ZlQmo5B13nX4Stmc4g4WVAObnySZk1RF3W1a0hHYzqY5evBBE05rbHLd
0aEzLtaS7hDrMg/YffRsPAK9F7sA0dK25qGwt0Tdnuo56b7W1EZUGDFUQKPgLig/+RKay1KmoyQu
sVebJVZ+NR5cYYXPE8CsV8Osje+m2w3n0J+iR6ec4b5WvOxoj8GTZOiyMhkMfwmXbJ68FwHBDMkT
B+MQHyrDmjhr7l3rGdofXpQl3AdoDIuqeBZL7I/wjXsPQCf86XJeC8/fkdfjrtQSFWRnosBeF9Pu
xCKBDhm7jU+NjfIOEBcK5TecOTGmKOrkVbckEU1udEB9Z+46AorA+gR7anl73SjSizLpewsA9WTq
wlnLBJ9bQcaRHwWYtn3T2Hghy1mko7yaHDS8s3yda144rjp/b04kcGGCyPeEeIwPjWuCc+z86JKW
/XejRkzczIQGuX1vnhIau6B94vGUqCk/BIL2gDkuxKhadXvkveIta4F/UuPz1OEgdLK7yt4S493g
SGz1mayW9JxJ8jpdFC4WBy4GK6O7aYfxZoBuQL7P6B4c1cRrUfTw/pt6w/QOMwVHwdtRarFq87Te
+a3+1i4BVLVRzXvpJhXe5OALJNJip5bQqramd0Bc2REry12HMDVxbTDo5F2ILrguC+KujOZlKOab
LgtPbeU+1Sq8sOXSMFoislw1f0+b6Bl6zb2HZrDmNL2GEv4aiGTYzxlNSq8N3pCO6/WsIhQ/hnSe
SNdSW1GZb+MS05UbEZt8bB5zl5x5xAy7tKsxeHrEwJL0VfQB5Jv39C+HXOltNBALNlvz15GsMDfF
27PERgwwnKfok6h1BGufidLJVjVuLZJgkiVzTDKjbJLPwCQ1I9/47DRPwu+7x8bHLR0TVgYIJj54
uDPX6Bi6z4YJH2kc+vbAlFOdO2K8DmpMl5/5JE6OlXifXfwd6Ioa9JtA7NUxQZBz0w3pUk54QTzu
q0FyhE4UigTEkfO5RcqtdsRQ3DumC+fe9cgOMGqylCWEUs1E2uwZc161foFZc9XE/Xibm2p5PbPJ
0lfY38wZyakJ22NUtKxockVrtaKraaf4OdNc7qSOUDxnnIcOqAg847rtWi+Bx1mlzQojq17hq6Tk
XFQY+KLCFz/CQqZDlx8gV2XE4IQ+hQhUC0Sxpl9RFkUs+25Tsb3QZ1pmGlPFbK6LKBBCo6HGqBCY
p8k8IhvvKYGbcLoYNvNuM0FD0U6NK65Tw0n6bRtMlB2dx7Y0LKO3Ui7VCcCm/ls6m8NN6k7yLJjr
7zAoZacY785LVBg0uSPbk/dSOy2uKUUlEs29eKuqwXUubbzIBKygraZ17NT6E/EgHB1yfOn7Wlrq
yNmelyZR19jGFQX6xpmieYednvpqcNsvbo73OlGLl9+O61sHS2Ym+/JYLoqSmUf+0cxQcyQEtcHz
dWgKaIp8v/PoESyTmvfr9bWNvKxy1TF0IXJTJ/R7KIrF5/f/S+AX5r1wKfsZywd7lAXzwbQQi+ii
pQYblUmXwLeGm2Hm2GNQbDLrmUv3Ici4mfDCHIRibbN7bxTXOWkM5lj5mw541yYvkhrCWYKj2gh4
i6R0khc7t+XeLRz9qUpaPgBa3mLFPoJWhsYLI/dcfkaoyrdeZogywESro4JNfpuNi33NiMVhzrr5
Mtb4xTGU8LkQ1IaPtUPZ1/RxXa2dKQUGYNTU9h05EGqDGXHI8MPSFaF5yWbQoTYPhQo2ld07mEFC
1MesfzR956CK6leafwmy25SOoj9fBQojOnzAoKUl04TgXcsIRnibwaM7500rrh05QKZKZyZkhD9d
5eGMamNZd0ZSzrseZx3H/zZ/zlU+E7eg8T72IwofHg11+N1AtkBThDLrDqLWIkTpmLJJ/pHvaiQ+
o+e20aRc2xL/n1nKcs+8+c/xrzeFw82cD4yOq2TeuTYroLUJ+FsF/fKCeeo+RGZgbN8BnzWT6k3r
1f5mLD3xuRD8SVba6GCWKXddtdwt6Y4sWLBx06XnhbbTrAJn0wyG+BxLh/DlrM3wyGvWfWxwvJYe
fdbNe+NJGmb4fYYscNWnrCYLKQopwkb1SiuxtJAMmf1Ta47yHEjMbz3Or9cwFqS5hzE/HSPmJ2xb
HbPJoQ1PIflIr5mnW3IVRgPem+5z0ZPGF8p7igM+IfkKtL9C8hk4AYdDuQ9KJDnULepTGyy3txB5
duoqpuS9rsx7UAIY+pcfrKmz+PdiLurXxk+49Njp/pRjED62tFzRA/iGfp0XogeWy7u24e8CPP1X
bL5vnaPJ7JEJpUdbf8XcF6zhc/p73ZM2Llq+nZZAhk+kyOMz6KaAjkVJfN6i4ooqd7pYtMAvddGH
L2pwJmc9u7O8yiNT3pREgp6cfNGDt1Q+zqZkO9wLRHm42BRfsbOsggE+99mpFzgDyBRs3EQZKXjt
HasEX+5bBOvjlVGkUa2ZxfKbrpQTbiqq010HMfGFiJJyH7mR8ThTEHz3wpoPHLTLGlQCHRCMvvCE
JAmZum9N8wEqsb/xfI+yz3fj/pvvUieTUyLHz7pKxi+Q55hCaQ7kilYqvP+YYwVPxjptzlL35TXW
jO4Rir3/e91D4Ulgtp/A1MBEjgaeTHYykOHjeBOBjCUroEdn/5K6DmIsEqtUuPFg+/WbvE6q6Y/2
83+FDv8mdLDRSv6tcf2TLvRY/v6TzOGPv/lL5mD/RpA8JkMgQ5ZNv+t/VQ6+/xtLHiggSk2fKYfJ
v/o/UajnMCoGCYP44A+Qz1+iUO83TFTAQFyL1jxsPP8/UTnY9sdRFFhLybuAnwy91mea+WOTvTN1
nMzxaCyWtpGIrJz0mBQj9YocURZnTM+KQ5iewE90Rj/QHkCg4MaquMxuaJPygFR9i0uo/93rZHEz
h2P5JRApjrmI4FXQDFhaNmMVtjvipMovhRNa2C+keaMSntykTSnrQjfU54mdFlHBETp394nrP3jY
M+7V2PU3on8tKqVWsY6z57YX6gUVXG+s5z4v530maiKV87YYYYSCfl8ZVgSUYgxKa0TVDb1yS1JM
9hYbGSpwSxWYhCb8u1vqteSYjc2I6T8POtrVY2jxyw9ne+Mois8tXSDPWiv0ZpSFfmrtm2DxOwP8
jc9W6vU+2i4vgR9U5ujBiSypvi6W0JeqFfN1pyex7qxcX0WBHr6CEShfKDxoIPY+1E8qzOaOfIbo
1YxNpHWpuZzsux3KKTK/6aWtmV8N1zOWwVvHmiqysvyxwRxTDB5E5SS79q1ivEMeNu/qqd1woj96
3oDhE7rtui87LLb2tB84wd3KRtMwS63i66ipcK2x8G9dR9ZH/HPtgzUNqCa11lt4ctYhnGtJW4SW
xclpyR1OJ4p/2rIJua4wWE/9nMdLsxjH6yqhA3P2RWGWa2VM+bNFlfsAvVUhKpQgESC3yM/EtoSf
OWUsIXcErCx1+XmYzXQFj96F3TbZ62EM5/Mcye5Tnk01EStBoc5DqJorzhX990AFM8+jqaUlrQmF
uuntMt/WTbCkK5GfWq5Qd/eX3ECogjR/6TQvXJMIh6RD8kMBtNikPPpC9EOeLxanhrZwY0W3pc9G
emAmldwztbc+mXSB74LZ4WoMptSDrE0QMk1sX0kz7amDuyo+kKBJx2mq6o3Z9s1hILjgHokOGB6c
nS9GiT7PEkXwbQChq3Yu42Mb3Setru3QNMF9kLrzsNYYiI3PzBXcWxJLl/BLPzTKVaDn7KuNKplc
idjMtkj3ik3gtBIHtiwf+R6zJxpW8a03pvqi5RSfPA6wwVZWQ3OOw9LeGO4UFUuWHFREqxEL04Cj
jNHw72UV2Zemp1TlGF3U12lJCDH6y4Jf+eeRcDAbe2XETJbbMzKHrE9Bnwj+qypl1DIVD/opde9J
2BtFfi6FGEtantpokS8PACjDHsPs/TT01nSKgagdmsG9lT4pmLVN99ayaIBijqRpyCSx32rGbS9h
GEwcGcM+hxphB5rMJ7NiRKWdh65zaJNOiWSUYtMAistEXNt1MZ5bgtv2NhbXlWb6us4yWD1BiDcF
jgZLkd/LfahRcK7IhcufCJq2irPbtSK99RI9k25q13MnHuwZRQ4ABc8tHSKKGuMwdOrZzuPhzsj8
BfOjrOFoqf7UR0Q/Vwy99kWbmZt8zGcOx8V011S+eezSvFnRuo2O/qTzu4GH8X0+pCPdjzTZhVaQ
b72aLxK/ET1OEpMlWlHCwVcdgXz4aJJzn54wFvJKltHQfA2bbZCYLy6o4ZWTGqeUdMcOFMOKYaPm
ZQyCNBttP8cw7YE6ERwjuS07OLT6JhH2S0D42Gagd7LFJmtciCGnTb7s1lOH9le2hLpFIV/y9LvS
/RXDg3wdtoIK0KRlI4OMmAYdPzFPBCSZVs++R5pR4ddfHb6x7ZhQCE3UBLj+nyNL3bhDmt62TfmZ
GeC4MqcrD2jIrhDVQ58QGV2MXrseBAARnP89Z1vkmqsOr//Bi2W2nlwCXAlRafCSxu6lSaQ+KUtf
teT67SZQtnuieO2N1FPWYOLxxMYLsvikIo+kX+JC5pd41PoSjIO9c5HRmiwjwqO79kx+lgkjqSvv
BWyWveGUxt6eUDi3E+EYkwpTonor2a/8xKnvGiLb761ZZeizkza/y4xxgFigfveqWJyyJJJXcxE0
W0MPfgEIZARz2RNIT5nH8nv0oN5ssJkCcKart51h5WDdiaZrODoAp3qpnmbytdeGY+trkhHvHGU0
/CSyeK16+FaFyrAPFXnx0OdheOfAtVnZi0TMqcREImJ/FYSCmRBY9td8DF9jLZo7s/aGW3MMxqsE
89O9CxPmASdlsW4t96Q9gtfJbmfnN8QnR8fEcRv8B1pDYNIM/ihFvK/D2Ot7xNIEDXfjtOMcG2DG
9PLvy4zqeh7Qzs7deWhtKwc1pO1r9hjjnLaJZ9LfKJp7h6C8TYO/9MoCs7920Afsg1HHX+2cKo4c
Eq3XXtbdswjz66AS+S3OdCKMS9cjDnHGmCHfmaX2pjVTdSxmy7rN4d5ujG6qbxBGf3F65W4Jj8se
igA2n9N65ifU7M1OD2YmWRkx8nLOBe4a2V+5mxKT3DNsdXtZq+TK6N3g5OhhOhBgOh7dlkfkmM3u
0chhu/0hLvrvOflfzskWNNpfnpOfv6miKtu/m6f+/Ju/zFPyNzSZf6ZvLKdRmMB/maes39jH4CPi
E6Y1+q4U/uug7PzG/8Cp1aTMB/WxHK//PCjb5m8etkUsng6eJ+im3n90UOYY/Dctihk4Dh1Q/FnL
GR6B6gfplC/7bsbF6Bx8Hz9yEWP2T6PG+he93XLY/ttVMKMiOpauvXCdhYuq6MfDeNghd7GqKDx0
aYlZmUY8CZdjWH1Z3BC3zNvw389NpjaI2uuXv9Ut/6D2Xb6vny6O3g8bK7fN42b/eHHksIw2eOwd
IjuAgOcpDehlRPmLYSS7J4GqekWKUQeAAQlg1/OUfBuNtiy3rnKtTb4IPacOjlFL7h+OdBhJaLHi
GxQpSwhajmqgnVSNjzLCz6W98L5w8+GP39//a5z9xw/hLXZVB7ebpKL58UMIZdcWxipS0GdQSaON
gKIwCvtIQtz01FiCToPMPEKaCgp49Mb1C/0A+gUVYhUmTAE659Icbyvt+yvRA1YJOPID+cjyI6ef
jMz3QT4W4GN3UznT7ED+lPyL8okl+9P3QL4Hjtt3j/FHYammsdNN9LEPiQVqR4k5X40kSdGe+Dcq
7QeB9/tyI+ODYT0aVpReH24WUYG6qCVX6i0EImDq+PJcsEiqtZo74cCH/fUSW1bQx+UNCxSrEEuc
xPplBf4N+21KXZYF6eGHPgIKyo6iIVhFwb9QcP/h/tlgTkHT+6gcrY/E9kCxXeSD4R+UOSR7n7tW
W0FyyLT/+OuP814bf/g8pKRQpb8TlH/aFOBjm8HAGjyYPNuOs4drOQ5YM9PEFzcVFo8/Qjj0qqra
7B7GnH+uSZJgnAo3KsaSclU4TnOnJpc+lts7mhF9QuOuxyV2ACGIDzMHHgaReHrqYfQw10e7YBDc
Nsw4FRcQE8gYcwtCPzlo09WfBhci2q8/pPWu9vvhU6JVxwzheITPkCzgLB2Ev31roRnmYL6YJw6p
xbwN8gqkzFAfoUpluyqj4wsy6jsGI2PjZAweWLzpIS9SallZtzvmG+q6zpKBXh2tzcYtxSdpZsm1
E0z2F28oik8O0DWU6eaDDAoAXMgRCDEmne3RFBminpnUJXISIeJFpUksYDLts2gn0z76wnaWHdzW
Ad3WmeCFkqq6YjITH4o6xHkVuaCnSvLDKicptrFpy70Gb/WoQic9pgbBoiVHcchIUfiVlq27LnCh
HSkO+ps6l0Oz6mfPPhd+k+/70HW2dW+SbWcjhXQ7uEXrFt7yIVMVbQlNJGnDSZbkT+PGCerpdyZX
Go95TDcza629E9qpXqVujDU+q92N4c32nRNb4hFgV/HJi+Lsey3jalxlIpiIq1cxpNKhYi5ZlfH4
2fNLwHqFqQ4kaeXHFDLPGYOae+Oia9q0foL7zioSBlht2bwxwXNe0fNtjZGJchxm3wxixS90KoyN
HSXR1vDUqShwuuWubLaZGRzBQJfXVVgDOx5L4DeR4hhleOUez9t5uZ9km0DSoS1lcGwe9EoW1ouz
DLTsMRZH6JPF2Q7r6cnIMxybkinBtewMUOZTH5tbwfMFg+xg7c0q8I8duqJXFbr6NuU+lUem/kyd
UWI9ZvaujGtWRA8uCBiK9Vo1iqTRmPmuRSp4sVqi357AjHbE6o0DX82Ik2KsImrxDg2YdWeGSAbZ
2/pjm1dY6VHj+SsVm79biu9cubK+m1R+SUIHG90Aw7KP8o4IVxoXgOa6NarBE6V/tGjiiGkOxuih
TFFnR+6XeJzEIW5bKJ9ynrapclEQZK9mUZabQel0baRu8Nwyg9tZSsmzB5kQa2kWrCoivsD60ITq
0sZYDqzhivCMmC2qG9ayKBfkfjVeGYyz95kGIDYZfkgedDzxZsZwR0PARr+2WGSVaHoWVz94Gx5D
UBoj30XROCTJhomruVeACq4cuPxnBN1irbAovtIBEXdoBz0fahDTcmhfaX0zEx7ONqVlczVN0j7G
5ZgfpJWIg1fxc3GNqRKEwDQE+3Zb7Klo3TyKCAJZCWEQaflVgdz9nIay+9319PTZ6tVwKujaHLM+
aMkZqIlWEUa9b9qMpNZQ9MdO8vsyJjKQoM4iQGPu6Wl5LBOSaZBhNYjtChEhGzDm8ckmO2dnLfF/
IovqrZ1X9jqdunAVEGizl25TnpMF+1Qim6JW4h/TssvQpbhj854svHGrbiKsxAcNpQX65bSfvvet
GqprMUX5Jqw5FMz9JDAbmnQqkPpukognh5xDf2WKrt4SGU1Fh+Hw5LktqEikudg3xXSFE1d/moMB
ICA/1OspwYG5yULScoBaVP03maphE6BGOkxpqr7G3hjh8gUxFhPteYZSjJxKcL4gXT2+wRjN6WQh
HDIVFSsXACbvLh8hMnYSHykjvOweUlzzOU0tsKtiHjaJwbkQGfGELklaxwGn7Y4UpO65ajEaQbYB
J7hMAvPUZu8B5LFqQAlf3By96Yw39zBNVn1txQzkPE0gHLYOT64xZWabtILDF6ieT54l8U1A5Onm
He/YtLP5P+ydyXbjRtatX6XWncMrAkCgGdwJQVBsJKZIKdXkBCuVDfq+x9PfD0r7r0x7/eXreU1q
uWxJJEEgIs45e38bX70ZfljsCpc+5jZ+R3ez9vkdA9o3Bu8k7XGfw8PiI2mWBENn2EuIJDZRvgE5
+4NkYSCQviUHstOXvUgs1Eh2Hxw5qyCvDGiVcI5sjtCGHNpnYBA5Aw9PMRpc32CafkzmbEDzj3vt
Roq8vgkKTZ26ptSuMy8QbbWMnRe3A5RhNUfq0xgotCcBQUZXAVGRWPuwvzZCJ5WOPsSLQODdAhS4
ISC6vGkTnYBQzovGSU3w3WoWBdn0Bg7fmnDiqJ4Oeapb3pAl0a5E3uGDA3skSln3QHlAKUpH5dux
QGpbuMOGbPLhBjXDHN1w+e30S2M6dXTbtHmNnXwmdrubih5RL2rxbWPQnb51gxzdkjnNLZAvRzej
8zTqTHYP79v7fwvWvytYLcwUP52E/jLYef7Wdv96ipswLn7lCBk/fvOPspVxDLAfhIerF4zikD/6
e9nq6L/h9KP+tPBqYWn8eb4jiLwk7ZRhIHMcBxPQ/5StBvghGELrodLF8cFg5p+UrZbzl9Pwe/wi
mAtbYtIz3r02P53eQjh2GXtXdGhzuz+B9lQG4+CqPeE0MiG10xwmqtmQ11ZqDBfAHYp4IqlayHEP
m00jazjo7V0DeeKBXA8C5Y3MfYqdLruJXAJ7jbh3y1M5oTrsLZqj3pRG6oCikN53n/TB4kE/HKEh
OyoDXZEqazu4rJ+KhuW+Dsxj4aQ9w2qQ7Dj3nRA1WuvC/VLN2qRKIMePT7KFnbZmPs0fl25YPD7S
vGMCRNSOmfSXcCwlyqaVKzcBykGytoZML1pAcwrkHaodTPcUUph/qlK7xEGVtNtoSsZ9Y9Tl3TLO
xWZqDfG8ADg5JYaYHznGGLu5odGuu61VQ0pcP3kG287XcyvexjJBwmqrocBxPucPYaTUDuhn5SUt
/9kWtTy5Mv5YYtHZhEhd7xxzpnjMOk+rRbkNMdaGYMvN7iGtEvs+KKVxCRBdg64jO1kSltDziTNH
W7ZuT6Yl/ELT1ysEbxbhHVvec0pTsDM9s3SZbmi2vQkmg0Bv9N1g+29tExi57KMPZN0P3VZfvQZb
m3OYZ6rRRPoVLiZngwacaVswh3OQm4CE7/b4H7qPZst+tQHOLX1t0EmbTGaDZOsWfouL1vJ2cfR9
l4hXpla4V/ksPpveU1AgrELj+nFOmem4syg+NavSWEa4tcA9RNQHMznN0PSyJAyvqK+MYjvYZXbn
JHl9xi+Tc6nBktgbYAcWZ/rWAvquBVstsofXoAn0y1wjQVWhNd3OS/Wt041w5jizWP4KrrtfxqQ9
Ti41RMJEDuHkdEvFFWxo9cGpL7TgIo3uJWxL6KydnR4iqwnC09iJbLhMkALrzw1y4k9irPvvyH3l
xQJVeVo7PQ/g7uFVqaK/VW1bW14HNQbKJ7DJO6Z1n8bJ7M9aBflEH8U3s8gpbcay9XJV1AeELdiB
YkN8AKNHBz9vZgfdVtQ/LloPNmYIMt+qqbPwcvR9vhdmr5IdvEDCHbJiHD9F6GgEFB2sLX6r1S1F
QsKsa+Fb9pXd5X5ctIO4YO9jGiIicctwjNHlBHfnMlT6/ajk69K6r5BaODsyF2hskVd714or1DIc
6JqboeWOEaFuPXN2fWQ88E3ofQDyxc4qn/1K7FU2DM6HKGM8VLh4skEm6/uQNefKXwg3NkGy57aO
T1SR42GSzHC4mXGte31Ip/auZbgV3jjB1IRe31SveaxV7MDdbPOW8D1pfXA/9IS7NXVaERNjDNt2
sCYmsgTZm0Z0SAm8pue96E6+J8czd8lqmJNTaogkxU4MIWIziVLdtVjlsAqV0QHjvPTraqWzYCfc
yspyns0mh/nfLadC2No+7NroBr/LejLQtZ0K5mGDk2/cAeYlrXPK0peJcdI2h+h1cmJcDEWXA2mf
ZU96OzmVCCTVhWnaOmVOh401RjnBOxzUE6AyxyQlXbvs++pmMFc3gMzDu5EUDa5AsiyPdSbUQXVO
c0c8gPY0htuoz04QV8JtnrVAW+OV2o+mB/ZqdYKU+KIHiEhLZFZ4iILFV/wUphRR3qHDqzl3IDon
kw/RveCwpgz7kFpQbiy7qS8GSfKPNIIios7RNUVKRmguq2W+CTQIvZ6bpenrkriwWCZ7PGEup73V
DJ8oL8FqotCbNsqG6K5jbt1My3DOlnD+Tmtg4L/aNgifEFiLHVf9zRS0X0x4zVtQkXhPIiwMyKNF
fyAyPfPKMmhu4aF9YmMBINOBXS6WeuQpDUptge00jlTiedx90Qt2G9827fYW7Zq7G0L5EILb3Bta
Lk4x5zivKZzkJrMZw9Cj2OM7YUjGBusz2mSUhSVhrzeFOIiZM2rA4Ohgjebkc6gUJ6vjmE2j2dm1
FcniPRmOJ9ResT/p2TWwyDSwgb7djIQQOnjC4u99PPclxGB06XnF2os5OtvS5qoPtStx8SVhWm9x
Edw3svQw0qLwxj4z30VVGJ9jMTlemlV4N5bU3ZKLI4+03ILd2NenKc9rXyxY71TZTOg1q9FnWF1h
JaBeXHozOjSL++a4XX4IVfO1xrXn9+n4ludm7ws5E2Lfs93IJjrgRA/3/ZgZ2zxwztgFrjQnjLPB
lH7jkARyGc0Y8bDWnsM5ufai1S5jlNxPXNdjwOyKpzE7h/Y7LyAFkzzFpBnSn2qtnVraZmvi8gOe
PPSd13A+/WimSHRH1Nrmte6xph+XpJt7JMYiLAEALRItaoxpc9PBW0YMbY4lvByrcBZSoQK3Wh6g
GbraC6ysad7GGFOXLYWL7okBrwW5CqnMMtO3O6Aue5AZD8rGdr9dhoWjTJtm5nkAKM5tpaTBnD9B
vi/Q238j52FCdNkv9QcdIlW0BXu8PBtVPz3nuAWPdpfIU49J5aaetRH7QW5PjJDmdDhSaY0s/chL
dtMQdfuZXoYvc1ZM6B3W55np+pYxRHKkQ98bG6Xb+dVZ+viYC8AewOF823bH3aw74dda78mwIZn+
vp2dejc6taQz0AFRhhYyrzoELhD+u2kXiTB8MuegAlFLMdtUacuhA1/YPm4WEw/uonoaQigraCMZ
1Cclze5Twxw68jtUxhhZdPgcQA3RKuxUy962cfATJl5rE+u4pFl0nFtZhIRatEN/IPW1PyHm0Gjl
1dbKWcLatoHP4X6QingMr+yWOiZ/BIF16bhLs42M3tqmYS1eW5VEcgspO7k4UVNfE5f2AtoLPCLl
muLTxsG0axwsgNjjpgFRyoR+grGxTZh6M3fPUK+ZILfIIvPEyYEb8uW/LEbMELdVN0YX9DVC1I6i
yClGpPkpXpa2NIZ9CJRgIKetDX0DSO/ZnC0aNZyACMDJLd05mLEpnoMgwkhRgYL1wt5wqIpnsxi4
XTrhxU3XvbB4L77BRTqVrnwz7RTHqK0wK/CN4ovLUjFPSBnTyEeUBx+k6ZXudR1xDYAfo/wDYTkO
lXIa4YtT0V2lxgouUt7djqiKD1bk4MYsSFO6YArtUwyxBb6DgtgQ1BUGXs+2RqmHbfjrFDjRJ5cz
90d9tuxTYEaFhUdksG9bwdFsG4QydO+wMxseVpSXLidZYqZ4pUGgzF2mUVXrE2D3Rkd/6rVJYr0a
lYlSq3WqhhmCzTqQ6e5dRp/tm64FFOHM2D+znsbHeNSkP9em9TIMKb6xtMntYKfVcURHUSyIxalI
mXR0xrWXpeErC3cs6Rmpn5qxy5iXNpuahuG02MN4plQdrziCUf8U4+QlimEtboLo81yPU73Ry9Lc
ybgEk1YxmfVrHfR2DokBe0THXN2KrJ0+CPsr6tfptmrj5ewA836oRmkjo1zHH2Un20e3ENlLiIuY
efucuMcSt/UxtjNxFBWAcpv79STq0LqgJB4RHuB/0hd4VhrYto20zcqfC8ysjUHAkFIBTUS7w5Ka
ZnmxG61K3SSZVhwm1C2bys3GR5JLjJ0mGh+rRYLXtAGZluTDOcGrf2KRGLY8gDws9qBzYGHlM9Im
9iKtrnBJJZY/m/h4vXSY602ZtzzrjZmcqpgzSpaLmgNUl30htBs9OYL90Y9rkuuHrhy/WlgmHK/K
3Olu0HUylsbGLHf/rf+LLu7mv6n/mRb/5/r/kGVxgfrp54n177/0h7LT/g3qjU4RAUOIOn4dn/1e
+rvyN+KlLeZPv2s0GWb/MbHW+U+U9nB5LJs3wVj6j4m1AZTYYnvjfMw6tSpC/1Hp/z7o+mVwI3Ub
/DdiUfhVBkicXwc3sRWbGEra6DjV0o4pVahFVUIgQVXbGgq2SZoEcCXuQ5XWjF3WxMGATddR5G+2
XVnvG4lhwHPKjD2dQQg3LAXGyD4uJqxGZm7eyAQHzCV1kwbPhkkG0FAZWC5mOB2gafR2uM3gurGc
BqpHwsQ2aq6uVesWFZxdbtqxWQ6LXDoq0qR0fchARuMPpC1FnrF64ts2qIaN6Wj1m5vM9hfGKQOz
Dqx74SIMiu8q61pvdhR1qMSErt+6ehdtWze37kYwQZt86K8tOUU7OsycpOgZCmPLATZ+qKA+XRhc
dOcGCfc1T4hJ8O2p1IiXcKZQbQolQkASSXXNVDUQ5DHWPpEpMzZ4FCX6qi2RkXODHIo5SVTG5U4V
jJAQ1K5ylHdpyqRYkMxVr5KtypWYieCD1EnFcyPzUzis+pZydmnho3npV/ULfElzG0n9PlqVMWrV
yGgzKsmp0rJ7A9/s2SjGqxJj66l3eU012dEX0j6qG3NV3zSrDoeDCvEe9L+viGuR6fRRHN6B4DfP
Y1Qg4+lWRY8YWYDL8hxUTf49QSOzo2gBNqpItQ7Zpa+M0b6oICi3MiD0wlqVQ9aqISLy4Nk1Nblp
Vn1RlanjsCqO7FV7lKwqJGPVIxmrMoksLMKO0ugtWVVLqrTG7RJOJ4qemeoEbRMcUHPTWJVG5Trl
DzAKc69IMwRSqy5q1QOtZ3Y8zUl31iZ0rTjB2o/pqqgyOS3ScEdlVa16K6l4pyi2wq0YgvBxcdaK
IHM4fHlJQYsES1uCY62q5MmIanGcRf8VvehIj8HMLvZQ4JVC/4sHbtWC0W8doP+sAjH6tcvZRPPp
JdWgoTaeyhuKdjRlOne0verMGMuYpxlrVdUY7HDc9nflZCyvQ2MDeNO61R24npYqM0UnaKxqtppm
/02/Kty0uj8h9W6PMDjuEIKtMrhVEYewMPEcPCF7410w13IP4mZFRdcHWufRrnnSsFFH7XJ1Vrld
YJ/MgSCBFh3ePPbJfYQyT0OhJ1epnpuZV1mLzC9Q8bUVxuMcXd/8LvDT20+53WQ74Pmo//JYp/TD
EF6s39T8FVtttSlXySCKyWezd4GOzm6wr1Zh4Yiy3IdeEG4TVIcshu0HfRUiaqskMUtDdZhXmaL5
LlhkyENFQjS2ZjAyRtVor/JGMiNeibyp/d7OGwq5Wick47igiexWcSTDhs1cxOdilU2aDAVI0cq3
+ZTk/jhWHE5/l1miYQuM7FKtIkxyoQEbLKlxQPc+XfJVrFmsss1qFXAu6WTdmWg651Xc2cxmkG6R
1I6URd1TL2dtr9WzOo+mjAoG+GVrjoLpn2YiG61loyeYcFY9KYEFiPact7IulW9ZC0BZY652po6Y
N3Li4H42nPiDitrPhVmZB0U7YLNw8LKqgX5/1IjuU9vwkWGc0JysMv0UZqDVha64pUWITDwHD5LN
UXY/s+xuoon1LisbglOQAnxaehciS8D6PPTcg/E8zZ/cmVqNuBpRP9TN9FAIOpehU+QfSuI4mKe4
WV/dhyqQB6MaI7KtddOuNpniZN4uSXmo0oGIqbjosm1ZFe4V6Md3wGmjF2JF2o2RkxGI5MgYH6LF
QLWyihwGA9VkDwK6pGVFzFZsaTu5MNNy9C7fzUxKeMQLkjOn/gknC4ib/TwU3TEvRNSzt2j1l1RL
GNJGtHKFP0Wjbn1IG2aiG4ahzj7tnWS5nczGukxs2A/4XHhE0pFb79Dgx3xpZdwco5WBQlPHUG8d
d3/syb4OI48hk21uONTZ15rkS30bSNEc6UQ4x3oONJj0SRHug7o7zLER0trqswdCygw6UgNRnVEa
oLR1lzF6reD5+kz/c7qrYfQZ6Y5Ay+s05KSjSzdvQ6ORpGyYlW1tlrEPDkMFWX40hmFAb79ol4ql
/XsBzmfcwJ0c77qhbe/nSa/Rs9LYaTCY4lbckJuFbYGY8f5ZkF7zuW5E/MqeTMVNvsQdzOf8A7Bu
97uYIsALURYYV42AjmctzZZzLuyDLa3sW54b1ldVuCrexJFR95teDQjiCePEwT4cOHXn1AdSn7dz
1jBRBy4Uc2xPIuepH2ZF07TNvmpUd5gR+1WnY1XxeAGObD2xj7h+NS3hrp9nXePcyxTQk2C+w0MT
T9OXNI5dk8UoDJ7IZB1oLNSCu3KOtPs4seDu60bevJL3mJ6NrApD7uLOtBkgMtxy+zr9anZ1eq3G
4iGDrKV78VIEh1Sm+VamCBlW8139YamhVXuQqSHlw9kI4LMABb2rOEG/qnEev1FV1Z8cbF87aGEu
Gcd4xN3NRKl/bJCO3DN8xQxmtI32xRRz+2EmXIiQd+LD9r09UznZ2lh9csOpcGjYBD2YP7AO2yRO
amCRdp48Y4hDHOCURndNzKDHfz8Z9RmWUHbgmSOOhLYwReBsUvvwzl3fsBvxGrhdYPoo2dNpKwdN
3fSZGV9pg4gbcl9sr+j7AucwfuAblufE2Sg55N5KLLqdx66mmd5ZW6syBRCbHuuozg1HhxbCr9MA
WxKq9sjz63xyaEFTy7a6yL7ttq1S7m2m4S4hkZbE88lOqkNrA9LZ0OZoXmljdsjl6bhLD8JJ+ZLO
elX4HbE2wJ6SevlG6K5xhwS52hq69WaGkfvRjgpYwXTTd0bEMJZ2gB3kqD3SUvPwYbMiKtQSaO+E
fecupv2JqU62B5CIX1AP1QoTMGbjzR6b6NQF0nhyuyiKN05uTOamblA4YEwu9zDV+Md06VNnTxzU
fHXSgLnppEfy8+ASNVEVqvoE8aW7KMhvhZdMunjtFw6QGCjGnnsJRhV9BFt+RchQM9LKcfUdkYYF
L8SUFh8RhVvtzkBmc+pb1AJDotEvWpq29nICSw809u4F/Z2XurDpmg2g5GCTEP0FwaSPvGLu3IvZ
ueLc22tig5tj2EYDpKPN4WzoSLqItcXBYoPz2XxD5qAz3AF3/0QDwKbFno/IuqRmwMWXbSzIBAvD
c8tc3B/Jtz7oCVbkxVQdtGojoyEu+lupRb7V0+aKEr0nDrq3bPKV8RlvhhaXaWp1zcdQ2cGbZZbB
bkBGlG74NpfWqxqzv4v0KT2EHLMwPwVKVBsmoYlJpoaZfK2Ey1wLInSxqbQoY2kxxjtA0NFzFkzZ
Y6xEBK1JYaeXQX/bVCiMuMEt50T7wMUIyhkxH8OjQy5huyuaut87sUtgR6GH6Uvr2PS7omAE8RzF
qgv8qtKRdwfLcko1WR1HVMC3fMLsVgeD/iVYYqxjcdch6aqHHeOG4lBnIR7ZdHmuZtDhoDNk8zk0
avveqGvtm8Sw/98p+Y9gnL+pksmKWnNf/nfO88OafvOv7Wc4JL+E7fz+i79Xyq71G1RPuLcE5yhl
/lwpSwHr2TLhZCiqVB0M9L8rZfWbaxoM0A0kZaiuf5F2owLRLZuD8Q9F+D8plPX3NJ2fCmXhrhpy
gciRSb2ObPhPhbJLn60Lglo7AewcLo4yc38xG3XIsyXFucMyK7BBXo3MGhBr0TeUHIEPwIWxiqTl
+DinVn4yWj33ZN1xZEHEycE2SQpoPzLxsBdFftqF17Ay9lCwhk1g0q/GYP809un9qBNEnY6hAyYI
eRVxrJMXsMnS+qUOYMbE7lmbmf6Ari/a8LRg1TBCGp/j0D4SZECamg1Pfu6b7Ctul83sGB8TmmVG
1dUs9v0FrgZbVGmpm3pUcMiMpM+vpOD0x7JykH3ZwPPZGfP0ZiBKcptkBcPV0aJGCKfcT5KlA8XB
9KVre4PoxXLNJ+RynhtL06fNSMd6O5A+yM4y1QahPaKY94tohA9SCACRqtWtaJw9YQjXSkgbU6Yr
7/JUnsC+4VSbmDgxItf9NIJ2VddOsOtElWMCNEvfweiMPDMdN5ifPfzrtDiZwKG8IrDYVpp9zOl4
ekHJxtNzmt1NOlv2firIVvJUO5Fhni0PNUPY7ThHT+4s9Y9jrqzDZDJRLmSpYyut3a2YjTI4V82s
C2yfUdwgRsRmL05DgTH2gQiQFP1bTGqs9oXgTslcggwqDbAYyYBoXouyBX2jwCRsNM4vCHrotFxr
o3DOnDuAA9D352DXrJELN7neNnvdVtMNJXRRbGJ8Kx+mvOiumt1BEZtjcl+ZyS+tMWy6MFa3NFUh
5ktsn76WQuZDPegCTkrwWp5pEBiVttXyCVD+TVk1yBjuyiSLWbtJPQPajE3OGFqbQL1hwoRL4VV0
Fi5aPVDXZqnGGIEfDnUtwdgOLCPhpNel+U1BDUryMcKtYRh3LgCCfrkxl6rpri7D4tn6OIq+FQ/a
MFtk12vo1Vj/8VD2k74TUJMnMglSq1RiugNrgLFzBzyQ2ESJuuSZqJDpQl944cSQQKfbMRBL6JNq
4YS8QrmBp/Vt6/q0wrWnKFUxmrvFzhFJ0Re9I9JCoGN0669qCWtmrHBCrxTxGgJVW+HvJNIuegpU
keZnLZl14m6rWXxYhtEaaJoTMeHh6yxxjuJgOM6JjPYM2zU/XsDIeOzq8wOURBt9i9ZMzyk0JiBX
tWV8wgyK/y/Mww91NNcfyKR1QHdVeHYjCRKQNyDuFtEqP2dM4k+kW+7juajurbYpntypnmA51iAr
NuactAgvXYz8DK2CQ+RYwcGpOHZuVIs2gd77RFNLk1TAQhY2X/mSkkmojA7D5KqojUTbXfvBLu5r
h/xauzY3kRyIB0cZ/Rhk1XSqskpXm1oLlx9mkf/Kxv5mQ2Rs9x/3Q68sim9fuvhL3/3cOP7xa39I
xuRvq99/RT9DsPiRbvBvp5OtK+z9EAHMtafs/ns31H/DwwQE12IrXBOceB+MGNfsOVP8RpuZ3ZXN
1Yag7f6j4APzner903YIf5sdVxc6WzYTL/FnA4riyXZRqQ48EaFE6BpnfrQU5BQxNput9M0RA+Kg
NVeDzAEX3z5Cy2ma06MjYUeJznl0MMwctaxL7zCM3g7Uzhtbs856Ddc/E/ic7QQ+x9ybExNphqym
kYttzfZI56R2d5WrEeFjIQgnAeJSBYPYCrzNmwR8nC9re9qEktfUQpS75KnxmoIyOknbl5WG3isg
WXVV6p6lkjcikQWAHX48RXbslYPdHKqheWHzJrxEDcbmPYgkD+wnbRRXLA5vQ8PLW6p6ycr4exl2
ZBGUNpFXln6h4cuQlSRoCuKp80VTv1gycTcdjdfNe2xBETK5Zi0nykWzD03jHMKi6/yg5dIMLgUJ
A7zNAp5Px2C6sQjRxjkMA0jU/NGM9jkaufAjH4HLIJxDjjF/GzT8FJOxFScJIScKKMixh5f7xGyI
oshQMVvUFx4d3AtLF2wmfpOalEmwCxOeaqPAPc8lqEDW+7jJl0tYZheXbriPgITvJCQLVJn42Zi1
Er1X84YM9Cyce8KPkJNATa5sE7csvs/sCvvaaHS03GjQRupEcCRZ+CXI6Al3xHiRzdH5NC0rrxW0
RyKMzvTA8VOVglqtSdz2MXCC9BbvAqcDLYNfsKCQHh1uDqPlRUdlc7jSHt9vkriene1sQhqtbO4D
ORsXeGmgrwTce2x5oPb4H8ajlyHmTYVJah5Ys138IZzbyjBn0O9yuBiq9S7q+Fnh2ue4lem2LjHs
oIlLPACvE5eJG6vPwC9gyzlzP3+f3BRFAcTMDVieNyyKfPcL/y9Zfc6D1FD8dw7u1gHaZp6vzVeJ
sEbH630nanhTTdu8vH/fpIICMsq4rbqRzxtG3DJIafjqa450veVkRyHD7zzk3NUWP+tE3J2Oza1S
rs9CWHfzRyIWjI3lJG+G5I3w5MGqxVdz7rlcSGQe4TR0IAZ4Tmy2tyMu5QUaIE+Ha7cvdsoftGy+
YSQgazqSdX6/GEXFQzFq/GiV5m95idA9EHZ9zHS2MFqjFW1caFBz4cpr3mL/0IGHbkbOMZ7RVdVu
yXWdIFXEaXljckkF8J4xjNqT02oT8BxgITRqYu9dNJ7aPJRIzG/jEflD0cMlgNlO2vkIF9jReVAB
J4itM0SZj6c68xF2fUeaF1+GiI7smgpCGBxicQliekIdue1L2K8IMZB85HzdJmojkswFmUHUuwyS
1scwdUrv/bvVcj6+FhS3Fo4RlhBugQKdHJMmrs37XY40e9lxgnJv2tBMfaCR7s6it7EdNW7n9xtg
vcN5xC+xuRQ3xswy5g483yZk1v3719z1yBU6eI8oYenDDJi9PldrtfxOKkeND16vl9o+cA1WLxW/
xTP/MMr0O+ohYwPhlHVF42nOOSd7QKxgJZGvdouafDqrSd04Y/KmYYLCmzMWt0EKJoJ4t9jrF4Ge
TfGclouStxzrwctZ3GSk/hW3WgsvbilYvhCXfC5aFgdJAyaezBs3ysAmMf66DSQWBLM1LI9zqLFt
GjxpNYdVQgBa0EYr+mqKc7FHZYeFkmxxz0bO6QcjX51mg2AKev0SUc7d0M2cUfazmKBFGDxV87Hx
NsTe2K8yFRhI+9xhBctt8rTf1ybdxbD5/tAOMYHaGtgl/nZ0rxpuiUaZF31O5hsr0GiJdeW67dAb
nOuJ5HdUjF5aZmLLZKe4JW54ohEDANVUXBoOXwyRuMSYjnFNMFS470GUIeSzUt+cOtgYjmIJNBXV
UqYF97oE1WCVeL6coP5e2/zrvE98HnqgdTHriallMeDv5osjNOUXmqT5XdtPORRlP9Wie23sz3aJ
OdQYnfA4xxPEGSL1Mrm1epRPeopXZFNMmtVvl2z5lKosRzjIiYC5IHwHbbMsTfKm0/5GsZi4youF
/qhCuNWtM1bJ3Ry2PdINwVdoEFAPETyUqMASUaPTAxZ3HxHHDcHHklmIcrudBiayCF/8aXabltI2
qlCu0Co5VkH/WevK8mvrDl/MWNB0D40p/U6toi0Wq8RCv4jlf9x3BRYsN08nUI6ACwwPMRXPfGIO
2jZkK9rq0gnuXMIJtF3GjLI9U8s69oEmZJvvOxps2sscAuGKepIfSUh2DRRODbpcrwbsgBtwsHTE
wXoRaNeCGLtjZFt/49fkhPSr/dQ2zDX6wrJsATP0z/bTzNV0AgWbfm/H83zTLNH3OGVzoUZ77BtC
JVXHU2fG3Ok/tUTuf5yc/gV6/75kNNL+3//zF5vt+ro0UoRuOcI2xJ8yIrA56rPbVf0eltu62PEM
GnH6tRip46Yq/f6fX+0vgv/11WyLaC1TuhjE//RqyxhqJi3zfp/N3CDrSQACoeaHWit+fK7/FgF/
UwToBo2in76Uv3hH1rDYV6Ixfi4Bfv+lf9cADvZ05/djPiX4/2hHbPc32+LwTVQLbg66ZT/VAGql
HTicyS1b/moboQYgqAfAnTSEA22ZP/gPsmL/cg8pi81MIVQke5ZYkz/dQ3Kw6kEg3zzQ4k5jLy1C
9cFoxur8zk/86dL8/zwdvBYlC6EmYHwlpvdfVSpDKzSiVWVxsI1RnjHiyXPSG+7TzBW4revF9f/z
6/1lFVCWibEGUIyNveaH3fknQwxJoOw+juD1comKDn0Y/L6ERIZzN5nGgU4gtHJjcuTjaMX63yxB
ayfxl9JKWWTwroAHTD8OeqJfP2ytCXyqdAIOCxrEr9BeWgtvwuDcznKZrlCw3KdAF3/3kf+yAPGq
XK119UOmhCzt11ft2g4fIqfJQ5ODc0AG2n0dmFCRQxJD5w7F/I9f0IIHLHg57l5BVbq+oZ+uccJh
ouLY4O4jlOUn2+FUPEed6+eOoX0ygsH60Y74X7EP7x3aX64rhSqZTjrW5xUt4Ji/viBjZSqVYBr2
fTlBee4Jq9NJKuU4unFGzBjUmrE8OwguD/acyms9qOKpqBCpeJGVcg4K7da+drMOJrMZVD/QZyUn
ViJleZn1vwMHYL7i/fzp/UrJAs0tSPdZfy/Bf7pARe46IRrffq9oN5mPWq6rgLiaTNQ7TCjONq9D
OZLLEM04E9pOyUeewfmquRmNQ5Qi1pFtyjjkc6WYfLQNiGtyraxNG+jlKV8ceZ7iKI/QJ+tZ7hfN
IM+5LrgOANYXue31dj2TNLFO1BMlza4CZ3TWGltr/N4W5anS5ukqO2u6D2IXf/BCEqB6c4ismLcQ
o6fBd9JaT06NoSBmsEpY2xjXg7tPxKA9JxlpNde60RtuOXj+CBewBmthSfkUSfmNu3QVKsg4TiYY
rPBXL1MxjxDFomytvBMimQnZBly0LgTNnPOcMgLE6Tp2072bwjz3pqCuXoEbVa8LhpaDNaRd7SFF
rV4ZHw73om0RJbk13tXVpuz6iWzUZ6cR0xU9J1RbsKLVqxF101WrNfmoOs7N8RKrz8pVOuTg2Z1e
rbJDP8TWjkeO1JPp2psNn5TU4ZGpacsLwlENnvQkBcnSO6P6nPVcRxxXXLfGlI+9y5e20NJ4GutF
fbY0a7rGIU3N2hgVBjMOaw4QdGqCTUtNcv1xr5JiZPReZMRjfxeneAJgcEGIMBUfVp+Hqr1pxyFb
PA0fcnR0bSJnDim8FTTjFuMUBMmmHj1Hw+g+OXhO5bZLe3siYAIRxWYoLPMzeJPqNQorHv46d2//
H3tntty2sa3hJ0IKDTSmW5IiKVKzZdnyDUqObMzz1MDTn6+p5CSSsuWTc70rFZcrsQUSaHSv9a9/
CKAIPWBuCo9algkrgxBsYy0jVR1bEy7fyq4rdYMrCY4TlGncUt7u+lHBwinWUZUtDbaFWPivghgR
8hCnSQ3bUH/XSaLF8qOq3Z/uP+W2s7YHrBXjzPM2OAnEHebLDE5Pf4YhDGENs5mybywY7fFdb2Ov
HzcTpnT48HUs4Fi/Hi6WwvUei+0wPAqET0Ar3YTyulF+cIdzn6BT7EntGjBR9830qm/gHTgMljNL
fYK2glcXNEQilLZ5as5EXOjWEjt0YZ5PosfLHimiUcbQD/vE2MEVSyfgKWMO72pmzTlVtkMzUMZD
H15YSzA/uoE1PY+z0dDJpd2S3EyzYU1fupPkF9eTcdfhcj+tFjOrVuQMQJswM+KDndHhPnf3tZYQ
q2QmbgO7ii2qF5IXEBlPtpYbYz15RcwEfmPjRN84qyPugereLdCO4YuMeYhlzFd0Oy5Mf7TMnYmq
uY5nd9VD8ryGWd3fTXGDkriHO/KN0QmG+rHdEcgcwTw/jh4yGekDlqwG06pQAuCP5rcD4oWObZOk
ae+AutK9qs0SbeaApuUCsLvggSuC0IGzomQHktA/B0mM3rozhijZsLiDA0N5VW4COXZkQ3te+GCX
XV8Ca8vPfRwZcPGbpxJj5KsUVqDEMNBmyxaezaIjbYslNWdo2PE75j+zL6s7jjnWshWWcbJ3jZBT
etG69a6vHx3RBw/wTIC8vEhrCpxxVHcEbocP0IrEVS1F/Th3mcpXYzY9Yb8dPaSOy4aJ8P8ek7T0
CwoRXiyyQG3iAdGmJ0ClgPKBGa+CICw3HKPVveswH0zScoNkVmJEYhMOdnDyxQy+LF0tvhWtYUBr
jeXgn0N1WWzcHepOofoQLdbDlm1/X6LRweGiJBE5qMOLyaijG8wj4vPID+4JSmge8r59mguld/9E
PHRFMGzSgfvEsJ193sEp5hBUxAZhsIF7BLQXyC/B5H2iB8m8TTJO546NYevGnhqx5r2EHhhqqVNA
xva1Giw1bBdpPRQIFbA8RgyxGrEd3yAohF5l0A2Pq8LGAa70DPk9FzZ/niAdSAVOHFjhdx0vymCu
qcNqu/gVgx6G+4MERsmMC4KgBm5dAXNwIZ77K4qpap+QaHPt4XeySflKOw8JAOZ/Vtg9QvOiFql7
/HHsiWwbAD0eaxME7VlCvB2bhcyj9opA+/l8tlMfKujMsVBUeHlolf+zmafBBaZybG+Zi8veqhlY
KV1k+ptIaQMSljKcCHz1xRUDZ/ZSwh/Y09OAnzNafBq3j4MLRIo2YdJEcEBXwslqWXn+zOCRYJSI
CIySJahs7IpcHJYx97My9vt2bPdzPLIPjk7UdTsiGP2LoCZpLPUrrpxymEDf8Xx1U9tc3nUmgAUP
1tW+armwjdvs00LmOFw4vU0S/ha2Z54R6aU/mXl8008lgOBQTxJpyWDuvNxBcdf2RvdcwpKtV8Ju
WRHW0jhPXs75SPIo+3SBQXy7QS0LsTXvHY+KYaav2b18LFHCxNk1cUolERoGx5fXsts3edvukTAo
AvOofcnSwVl0wYTogPOHSzzkgGhcXQoX5sjabIPqcbIarCssZ+RTJ0XNd520QeymJD3cu5NNnSN7
rN1e4sGax5EOgp+YH3jeOlLSxSGsSxu84p35U2hUziNDNDbWGdn5xVS3SEOyfEg7jgwR3U8e5Gv2
zdy9kIvtd+yLnviUVwZeLUNs/OyJZN3FwwQOy2emykkML3iw1MSywEmCk7wJenFvtw3HU0Sme7Zt
PZktfJJE39EGW3jIkGjy1gM8Ug7Mlq2KVCGeKI4bPKahYMXlHY/REA1dAwQdxtwbp8NB/yz3MTd5
EMaMNQb3idLyk2snxvBpdHEUr9fJFEexf4eaksnGJquDBUmcHzVzsp2zxIjE59SnWiZMceqdlSco
N3JwtrPEBIZdh2QEbACPcQRy0ekWpNsTqocJySGTbYy4D6MNBr7zGf82GwXb4pCnS33J42/uoBKj
nh1j46syguRg9GBGYxdz9MxIaSMLPeesPICbAdcKSNPupkQ4tTK94CjnLsR71r6NfLZ0mwCQrTCZ
CrWLQBCuVHNejX3ErDLHa16yxRC11sMkJF8eThAVCdPa7KeRSAf1exXug6UqMIJqRhCjqpvW7Ao/
oQj9NPL5OlByOmddUxgMGNcCmZjXDj5tm9Es1m43F3s1YCBMbRx+UkBp25RDdJM2iGaUlNfS7OWl
sobylqfNuYyRzYGTr9jJIjOYP0Hh9gsXEmR+OWQMW2xu1bU519HnGijusa0s+6oa4UWv7cikgFTN
Lkfyv3HHG7sQd1R+5ZnFjOin44bOwYbGTYxNYQWpCZbtTYxb9ka6/GBKzAORA6/w1nHAljekNOQV
hbYx6lAuIl/xyRv1DhJr6x3OK3bDPq3QIlrGuWvPTX2JrJFFWsTsNonbsiIXJOIAfYrEypsZ0jPD
HsruXwBVukt61ZVoLoBH0LdnQaux3rb9cFzSgBOvRmV5KvpHZaIG1YXvxy34u+4HeiyOYmAZtP2S
xu11twaTAEld1df7vNTWZwPeFfcNTMx8JZWojmjGaV1O2+HH133X+nNdhqsOfh3EV9Apvr4uLXlu
g6rWe5Xm7lNvFO2eLKxcbScvZv+qinK+c11EjsSO6Sr346uD27y9uxi20xXzgvMh3jpxzF0KeiLc
aj/BwCazx2+te1/vuhDj2e37qOZXs0YZb+vKm/Esm/vpI/wXsfsVYofkm0X2n3lsl8nviGCeyleI
3ctf+lPtZf0msfPzAgHI4MFTA0T5U+0F9mb6qFolpztV6t8RO/833PVNbeNiuyAh+qH/ObUXvzFx
+N9Jv4YA/wVi9xYBIVpG2NjPgC2hKXv/ThH8ofom7yBVMXBhwxixMlf71hmTHcSd0sU1LZ6L6iLN
hDF9ThRIiKrnmPChLgBE8BLS8MSG3sum+3HwKJ/bVSlzpIqRpdNNqX51YVV2bbf7252+edlfPoDH
AWv4wD631gS/wUPnzW7gd2jVQ0hLR7ZdQIcYt1BnoqBDAmsy9NP958cXxAXy9avIJXGIBHwBXkVs
xz17vREYSQ5jaqgifKKDC7JcjHSdj9ADd6mU0HYQZRvNnp6jfgyoQxscLOToyT0H9xhunSgW1Tkx
2mxdy+hxV0o3hBllabjEL9lAtRmUQoADApBb8Hd2Mix5zTvBJoPfEMWGyEKqkqYl+3eNqTalSDTh
OHE0XDoWLF6ZIgsAg76sdZna+FwqiMMxwrcjpAZ52UEm1+h8DsYTTRly3rANCUAgYJXSrRU2i2Cy
cQFscQXEQMOgnF76WlBHE5/A4C7BNJ343yk6OwE9JlV2u2niyLoXwqAUSk7bUtemzSMnJVCBO/Ex
lJX4CuG0xiLGierJxYwrvlZxwZ52apxmrfj+3DYOxo1wjyxxb6F+6o5WBQH0asmIf8SQYnbrrxZu
7fGhbzvWX0Qi09qAFDfeLW1p3Rs2ivAvNQ4uIIZWr8vLTnGv575S1Xlb+7rkJiJiWYeuwaXzWneL
NRxxusMUeHOtTvAfXV0a34SjoEau2pJUXTnZfP80Kx0s8RApDNBdHv7ALyaMAzZN4t7G7sCPNruG
m0TOLE/BlX3ffY0nopr3cjGL4oz7yFHhJDqGJiEkFztOp2+WTzM1zrIeLbxDjxEhwvFh0Y/E011l
0CQIGSZ6gWPQGGAzSd4bEDrp7C9j8nVvDd/EaCNVvLwgg8LfNKi1iTAi8S1f5YGGrFvXw/evGq2c
Cb0XbXKnwarDmtR87/YWSjkSBb11kYYUOVgGYNub9s4lTnvugzF64moaa8SEdkb0BFYQe/J9pb9O
rNJ7KiOUJDV+KgoND0uWrlLdjGSo+es4xalzXeQhsY0oGCmPHTLSHgy36fpbizxyd+OMHssG1Ru3
d0oKt702obDZaAojfCfXxYDVAWouzrXFJlZCGkRIFopnB39RTj8Z7w6cfaT/4tiqJtCjwhT3+MKB
CSIycJ46q6SIj9Hr38+WfvJ5RuIpE/2JZ5tNC0jn4lXEb4wWLxdhS7yUWV1N4ZYZQ919PUF4Plt8
ixbc4wYnVm25u4wy++iATOKKryBmRmNaZds0xAYYk9lmj8PJrC5sXAXxuKkgiJwRtYZ5v+BtC85e
QDAvsOkHiFCsjkQRWe19tiyG8WAMOBpe4M1gtGh9Aj5JPttsv0sxzcFnfAqK7C4c03avCqNtGJCD
NiykUSE+nDU+z5CAe6nMiWIwCCJuRG1StIS5T9FCtc3bUzfQzNanhZwpgwdXaZCYolW/FH3LKHCl
Jg2nlLKy7pPBEERAQX5yv6rcH6zrFEFKQ+8pCC85TWBiKCZkNOpMMgKYo1TtvTBq02+AF1OEgmGI
+mc79PvsS8sOIWKQ2MVpkZiVpeuvVGSEwZmXRyDJMHP4SSbL6dA1xAATo9ky3EGlpb74mCxkPxyv
tCxc/WdKejwfUblfA97y4q6sIY3c87C0iF1bVRUF1Xls4c6PHMZbyABLIvNbopaO1LTIvyptM/jq
jEO4rhbxyRsjpQ01q+HzXM0G1OsuJhup1n0kRmj4l4UbOwxhvRbgJPTPYnY2sVc4e7z93emikvhz
Jl8iAJxuK2vHRZBT1TPEmhwvgZrh0QNqTGsNae2bUY60M6RRY+FBGEYST2jWRGZF3/Mu9H6oyA5X
UJjL6562dZjaZoaQ3Kpbt/Kib449lmeQjeSmKhHO+nB3vgmK361VmlG49hYwLLP32htg5GztIdOG
joSNx2VSR/lnK+08vIq6nrC3Xq1wglRr4jWJSSym+hqAuLhw5IhNzOTlt2zr9Te8feJPo8xvJs9U
6a5Fm7ltoFBgwFmVO8xzk09R5+YQpGUXbVuYsRcBBxj5ps1CyGOA/bUtUR02E1BA7qEpT0a7uufQ
qb+WTlHHm3Tpyq0PkeALMwp9a4sE7zLXIZXD9cidAxSG7pGMND+h1/1MWmLU8kFKHJTTaDvllnUF
jOKhgTadcl6pmXJgo/P3jk1XVDs/b/APSnObrJsYknHkiNs0rOqdVsNt0HHXX9OsrSdOqdEFww/F
CInHG66aXoafgjp2dwYJK1uHHEWMWg0mH/PsulcGyXxHNux5b5blfI4rRnCOrepE6HfbokOWdARY
Te3jsnPvx2Rcnk0wpyOszOXYlm2Q/6IRe9MgUZ/gNM8/gs0ogC7zdkxYFbafagNo1aNEy0qsMs3J
5hCSRktQnDlWx5C3fP9xXfSm/Ttd1cEsH3dunAMYo72uimS4YO06gRw0+JE+JjJhY8Cckxrj4+u8
mS6frkOLyaCOag+hwJvqa4wrd+gCTDskaCF7qknLU5VYsTsqZMP49xej5yOFjwKZCfObWwkxpjMw
xw0OeIJjY1PF8pwQznxt4Fv4i8myLlT/1j7zvRB9+nr8SGtLPf+mkG2iwKsNXFoPtssQu6TH3zlT
QLwyodPHziPt8eOv9g/XE/QhgmWChMZ5y/QQ6NfgrBfO4QRxvxxBZcxcYe2UnYbhk5nb+/E137TQ
+jtCMGBYb6FStd8V6xhEyj5oe3lomaKMoCo6QJENlRO4VDoJj6Ew55FRjPzeNFKOj48/wPtF6usZ
OrwW5tgWU+bXi7QqZWPiygZ0OCTtfpoMG6u5qTr+P64Cxha4TLKhCrxZNXloTRATO/dAtC8ALx6h
uxMW/O+vQkMJy0P7qiOIeP1dXOhxjWPwXQLMhDYuHjZri1ycf79MkMpgVYtwieHI22WSITxPiAR0
DhYeZjsUgiyKcZ6YosxhD+uhVuPyi5bu/f7Fns4exteSNr9788XIkw7nKXflwahC96sgZPmwmCOl
yJDj8lH6M7iS2y0skY9v6PudBYQFw0GwJRjs794IhnCJudSOdcgG3u6wYp/sNUy2pGC4H1/qH74i
iwMFGjW4R8v/ZrP08olkhrqwDqrF8W8uwK0WPYQinowdW3dwyNX/ZTSEfvsgcMDLlxrEct4y2EYz
Ke04cMUhd5t2XxbwVXLTj3fwHH75pp/wqNfbGdwNz5FSYh2jSUevV2cV+/h3sZ8c0MHCNU5F4SBN
8cz8rh6X9gqFEfFQ4UyZDMROV0Gt1V2NzYhTuTQ6SXNRMSCJrO5ZxB2DFdJwGWf4mVvnv1hu7zfC
wAT6sAJ2JHIzrDcHSpk4UzIbgLJWYXOhJEzqR52m2q3GVLLUoJz/6qwU7/chkix4qzieUSj63pvN
PsrBS0LOuIPhG9S6yrfpH3ql+me/FRyZei7Lek+ZnzZD3jyOoyZe2CSM3DWdxQyoiQbm5lRJhG7M
gpHJx+vzn+4JOyVrheiG9yIO+OcYM/q89Sc2SGo66TcRGfahg52JF1Bj/grGeffuaXIRbwNQDksU
Xsvr5dIknS765+VAdKl8gvoPj2BuSpap0mOhj7/dP11MI8cmAA1bzdu16S+I/aMmmA8qUuomLbPg
wux8uhykzHRJH1/s3aPmm4EcS2Ha+sRz3rzqTA9E3YXmfAD3p7EkHYyVxYtIl/jxhSxYhK8rCMQ9
2hgaF04Mo8HFXt/D3I4ThVnFRAXRAvSb9HAkhpE4lH1mPLZ0xxqr2PZMRtK/iHEaVXQkns0cNtfH
YNWouzjJwAmMiWZp3YkFdozHSA8+OVAWqJe9NXONfkyERC6EQ0bzTY89DsO5j7/J++fjCMo7ANPA
gW/xthRKyhklW9F1B2uBYTtB9T8WU5zs/j3XDEGUow2zJVQqIL13fL4+Mq1+VHjztyQqnftWyvfH
ADU4Q5xaHWWpfokf6tPrbxuj5FjzfFTE/ArN7d1TKpfCFg2M9IPbKPnDda3x0MoweDgBIjoEQWya
JXc+V0pZv9jprLdLRHJlFwYz8lXTYlLj2K+XiMzDPpFTkh6EAElaNmbqu1m3m91lsDGfx03wuyuy
TG7GqhMd4lOGyiVzu2Rv9TOBIpaFLtU8TTKXTOM1TevpxmJo+f3ClAySIJLW3cDPv/H6GZHLWE2J
s8fsO9M6f9+ubh04Lg+tXl65wWGwm/sW5f7YzjXcfheiljMpoLEuzMD9MoCjcJU0RNhs/AhfrEvH
1BNnk/ng7QTagJC4N3ZKJu5NNQsDDSsuVitQ7BLlI4ZA5gWwtFnCbXGGAJ+YFlvUTOLnqn0vpk01
a/1nuSRIXhKxlmPuYMYxiJh8UPJD8BgA+zYxqXqyF7ygeGcw716Y8YpcPE+tnwGKGynvS6BqDYbO
URbfjDgLRMzhm6U6hwYG6B20zK32LzyzsoFmfbY05HGdik9y00FeglzXNU3NuxaXDJJ/gpYnJOaK
qKVxn1vkRPA7DHWHe0oRM1Ss8uoCN82xv+3sDliXOD89hhJFnd1VaKIYsw69aJi4wqXKTMu/IGCh
yu68WnTPqjP5FpOdOssP2y0Hedk2OH+tPfzew5UyE/4iXx1C28TH/VSLAN+WzErlxcjdHEE08Afe
JmSUq61bz1weHATkqoei5+78YoYGO9ohP3Fw41B8XybtvKDSwfik4HssUAn1oD8wSwmEE+fo36/L
CW+jO8EgusMmNAN4pV8l7VrM3sTskzHw+Ti2WERuhl4H+NYYA21ciy0cFS8rCKKUpjJ4U+JdyBE1
ynmsDOaevRJjcvVC3PProVt2KqeHxVc2AGWMBlO19y+UBj9xWGAlYlqLTHnYrS91AJg9q2+JXKCG
GFvt+IA8056PIUAI9nTLXKmfQb+ENyfu3gsE5+TYj6/sWIl7ic/5UxLGcXjWDR3Us5fXCvsyuFL6
nZk8eClP5YlzMTmzuBdKQFAC7cVCxIKPR6aM67CKGt+lM4tzh/tqdRozt9Nu+D4nBHVuVcIE4WU0
I3z5FDq2LiRQIoHHVZ58KkSqkdgWeB5PFtofJUwQ+NPxhxMZIGMMduVdYPsxLMQIJSrdVn5mdsci
iHhNi9pg0pBjSDmdy3CU9jYNrCi57cqGDyJQW7VbjKi6u3IRjfo2KM82RoAeJ8vufEJfh0tH5eLe
xdlAroc2TOYf8MNZsilGa/J2FgzSN/FMbWzz/k1ewXnMGCCu8PsABocGxjQHdyzZ294XCnM8EXBE
6asa+U0y1kaKF8lSgM0buZMe8rYDrZ9zaOGobcrFB5JA1IjH7il3FoS81ySvBT3b9HLi/3dO+os5
KQeLpk7/5znpl6T7HSwyeTUo/eNv/TkodX/D1tdy6Jsdzek3qUz/HJRavzH4h4NKVwjExRD1L3mz
Rxi6rSXH/B8L9IuP8eeglMkrggaT4SpVJSZy8t8MSl/XxfRPgYOwAcq1zU8THKWvz0/i3OJsILXq
eHqFT4R4R1ClLvPMq3SaRf3tBv1yvPlyQcAuTDg5sn331Ej8jerNecmUoS6cIzMzfyNG6v0lYDzo
QrTZRzDXrz6+3uvS64/roQAiIh51g/+2DsdYc+kC4L0jubXuE60PnLc0FfedHgV/fKnXhdDpUjxq
njUAhukxxX19L1tK0GjIhDxmBdznxGOQ4fQLcwPXigAWFtQMXpYycfw1heQfvuWLoQxGa6Ckb8kU
1K8kNuEFeOw40c5xNWQDI5wB5jxRzb/qNsTruvz0RVmBmMPgDOpjX/Pmi6oqJz1FJfI4VS4X8mpN
R51Sk1Zj7D0wy9JO6/hQKMWGPbfx2H2FNM6Op3DhWJvY2P8CfXj/9Zl4aGEOEn2XyvcNwIJdBYZj
JDofXxjjxOYlO4oqfvn/XYvK2rGpEDQu/KaxiwhEyeN5ljjcQKId6O2fvb6ADK/J9x8vKH0f/6qs
9X0m35UcV3wM8Acx33ZaCWi3QVyXPI5h/LOzIMoPVmH8op37p3vHJkScKxdjl3rzMDEvkF5v5fK4
ZB1TedTG8PDwIF2LJeNg/fgbCX133n4lFEWCql1yC99ifLhSinFh6HZMLT35xYelOpITRWXB+YZY
AUHGk9R48QkaQCVjn0djaJ//4mO8X8EuEAleDvpVRf30ZsGElrDC0M3kUeG0c7CzkjybJgxIpDQ6
VmgTMM/OGFy6GGcOWjKgX14HE+7d/wE8+acnIKVNwamfNOj8630jy9F/FFnNy6tFD6ZpTqtTiyhR
Xp99/MX/6VJ0S4jtaNZsRu6vLwWa2lYtsvdjwlD87mWGauTkP699lyfx8cVeny1s39BKQIW0NIXL
vVu+ddxXOZRo4xDSsCwrcKH6scTj8HGZ4P+OJBb+apSi3bj+trz0JUk59aDQYcnBA37baNcZJG4X
J5GDqcFd6Zd0vxBC1B1kDSboHfU7ZI0FNoqfMv7V2pNCMY7wDF16+4nb7BcN0px2EIQBNHDzwjh/
FSLBgJ0gCNT8+CY5pyP2r1cCXNhlFuFp0BtAxX1HMyx9lUpV2BIsysTwVJuFVto2NBJdNtCqFTN2
onmetpiLVmk9u7j7Ou5tC0EQm0fmYnjWFSF7b+gwi17gvj4rK2PpEtWr2wfoSvHGbFMxMi2eKJ4x
0JdPTexDrdG4KdBU/3xCCzx4BO2GsDcqeAueS08Y0dGPpH1oU24g4oN0vomSHICPsQaxjksMVQhx
UyP2onP40egtiPgrAlRk67xNQqabQ0L0eF42XEMPfjBNnm9wtTJNWlqEOSsyfMRVF1eskBdFAv7z
y85A++ceTsSQro8KqNutoE05ifUyDG0fvZrYrkMhkvlOwIq5Maye4nyBNJh8E3PAI2PE7hJjMPlT
+HAa4WF66z5lCU55JDjRwcwi6J47UesTGjzyqZgz6/d6Ca392HjNHW14wcTKazBzRqq9Yv/Fx2wK
HA5UMQuyConLOkrl++R8ZsYal0buaIgCapYWNDPb7p6hTPsbo4L0Q0og9wfOg3fXddHyYI0IOepA
a5AKF2mSUG33nBWRpfNj0QYuHQ6Qa19LkYZ65k8Z4Qxf5kQ7K1JaqhN5SZJX0rycqCUn9bZmXk1v
XcRtuo+QF8GnxY8UHUPsypmEjXnxUJJTmBip94fayUwtuulqdtUZXjSat1LmgLRJw6ohSwgukptx
N0nAqgkFqfy5XBPVCYG+1vslDJoGAZYcgXAtZfFhSM7NirMTId+tYt6/yoxgDZ1w19goNAvfKejb
wsqn9fNm5PcrsjBpHUVps5YxmwweOjPkx/pahUbcD2IBoTlfPT5Qajufet2+ZJq6xl59uVw8onfW
IqG5Hyto/248BBY5XnoQTfPZforsxdovYBTexqLn/VaOY3nvL8l8mTf4dDaIUMWKLkv4BDLgiJvk
mMJGOeZoqy6HRjCVSzVszC507/N8SaYVenogGQ9PsyuGg+axkHEFPzkLgnXidARNEfK2JhF7vs/I
5T4bqriuD5k5J1RGZGSge+rK277uUDKk4VD8qGj7fvoScIXp23CFuREMgVmlIVS7jJ1pDZkHh2fY
sNwETS8g5LbtYBLN7u+KuMkNzPzyouoQcm0ZfHnTKhjqZIOBGDyGaqiuAsK7pnW5dPG3yDbg00M3
hhkHAaCBFnAUc+81Ox+6xyNaDh3mXS/fXILkDtjakyimJrl8K/MmIyHCWkBSRx6jHzrjGuPu8ltK
Zlu/KUcNc5itt9PFKMYaCmR/07aFcdZQA65GipctLhe93piggZC0ejdknXFeZk19noLwbmdnmH+E
RCqfxUZi3M4gsV+TbJRrbCv6VV3CUUnRYK3wf3vC5I/3A6bVJrSKeD2MrdgWEFLS1jeudAQv278d
Eg6btTZu45rsXPXrTAeBOSs4YxCq9ZOvpwsqXX+PYB3aC6M68ntPZBgMrsON1AwZX3NlMNbHAlXz
ZyzNpKkzt0FmV3bbgRS3NXOh33MPn9ggR0SaBEJtOyO0N0PO5wjCvrjlVIKoA4oVX7iymTBSN3mi
XmSlFxDHyhuzH+obRJQsagN0t386TSMNMmkRW2qq1lkF+SA9uidSgGVDb9Xqtv45arWQtVo0DQyM
jBzbfkQOBL0kOvMH5Zhn5JWqckWCgYmIyQvBqizHqB5DIdUNearG+qS/6Qkk84kQcxDQ5ZYkxPAk
DDWFqrtdlvRsQSfJzkn8aCj6KASHlHAucYL3Yy159YcYfphUkim3g/fVY42Iko+GIRB2U3mZP1pV
E1HPoUqBC4OXrQ4E7+riG+k5fv1zrkeJ8NPDBDX3+u6sTOX0A9FNE62dzHC+YJCEyXUcdHtSjElO
KlWUkCMn0vh7N/ZPaY0LiyOTKFqHM9vH1xxjeuNTstSVvfex37gaW4QCbo5rYDxNzT413GU7+2X9
eQmiAvKQJ6fPIwYrd25U/7Ty5atCs3yd9Va/Z1/V4+igHc7kUFvPDMKj5yVJpk/R4PHkeOPTs4ax
Y0ASuTfB+2P0gH1j3nkH10m6aqOmHBfHDpHevM4GsmH2faDMo2yq+RLSoH3nLioxVm2RDaQa8hTI
PwZPeIBSRRKDEn1+qdpWXi/Jkl9jmTfcFYnfrNtKEC42GvkZ8UT29ypwR4a8NWE1TmgRlYAuGseC
GCPcCQtgTLobjFe6IHQ2aeHLwzyN38PamD5NfZThjTyYly0BV9+yyc2idYtymbOyxMu7me3oKpBz
ctlCYjwYwRSgsh6j7slKpvqILzCT7MQZjkgpDHgPfYeZu2DL2xoUs3j1C8sC9oahSbJTXtr3blbX
+7HETbJO4vDCnIflto/NahWM0fQ45H1DklfXyeQAtKUcvNEZ26z8cPKzKxcOYI1Rz9Dt6XKNixQt
1Gd8bq0A09ChKFfkH5nZfmDxXE2c8D/F2HSXQ01uheIgPJZpRyZEDYeYTD5BewFA3ewyie33uqay
MNbR6I23EZRehLAnq5uOLe8xU72NaWXuXBBzwTZqmziZrJt6LKeNVbQQ7nIsmi97b16c1Rw0wj/z
c0+yIYrpR2W5Q7gNwNC3UR3Jcykbsntzd9l3g5fcgX42nwcxdw8+kOQZtL9svUB8XWUQtlfSjGMd
M5d6OJFNWJ8J6EnPhDxzDvUm9lOhMSb5RnKrbsaFPgWnRa9dO1WYXFumpz6b7WRcOklP6kdiN/bW
N+zWw4m+dHCh9JxpXYEed7uBtfszzGPNNbb732FWe8+TixPM1qyhKa2x7XGgnFW5165CZh8/Fx2K
tWkhhWIk09c/nVhFN6D3OJ8uSdcf7EkBeFYVjqOxwr1sJZnAoYssiWPIp/TMMt2w3wQRNXsEsRTy
XVx5MbxK2eOgPCBHNrAm/Rq7M4JfL1rSa9MDpl6F5Btel0Ge9yvykYzb2LB5ai+O+sWLv75CMozb
/qle/y8W+gsslAGfTTf5n7HQqx/j0/PTK8XIy1/5AwgVAmtjdEY2YT+wEhjo/i8QKixa3r8CgQj7
tSHLWNIBZxHohv5APm38XiB60BqAiVr0sO6/QT6FpWeDf2u8TI5cfRkYMozqrXdT2biXaizb2r70
ws57mCdJPoctDEi1C+ZZc1w0SAfr6oBNciPYJ5qRTMKoO2NIl+Nm3zWIbM3B+gqzP7uqvBzb9kaN
tsQUrsGrdGjl/IAsbvzaZzQwfTSTWlFDEMEizSfutu5TjOfdGDX8MM3ibrC76rEcw/F6Ybam1r5R
TgM+7y3muk3YTtukkNnea1NGUG02Ypxaz/3OZUxXreo4Vdk6iph3bIyZglnOM2GSsfKnaA+OtQwb
SNrm93TIu3mVz1n2TOhRQ3yXMxarCd75Ndk2KOJhHvPdi5peSLPuM++8mlu5bBcxqHqHzS3/19Z0
3wMsJho5Tvz5HD67k24KGlVc5PmAdEXhQuBM1RC8cGv5dXUbIBq+w+dxvG5yih9SVPsNE3ufs7qr
xl06td6+QF7YrFNZLdGeaYa6aX2q340hW3ifxIhZn7HY672l3kyhSerBPhQOyuoitCLb2/mY20Zb
r4XyZG6wYmhLE6ceX11h2FuUYt1jnHsuO1ER6ldHTeyuU+giZUlWqp+DgXzp6lx29h0pi/j+2q4A
BiMBalRXWTNKrCqRcbcBRp9RW6C1rf1oNaBAcilOjDgNr0OyUrYEhpCdssax1sYHshkoZsitM0bU
1g0uRtXeBDQMj1ZLUsUGi8tRLxxv2S+KueXWIIQZ5jT9YD4e+n4YavNKzEXa2+2q7bpxwhw4myxO
tK9RGFvW8oil8Fy2z/3U9EVBzPqy5OHtfze8/0skmsas2Hv+84Z3WZX9U/l6x3v5O3/ueNrMHYYM
JDxNuYX68deOJ9zfTIn1JzI4oZ2XAOL+3AADdjlwMxPekPa70hDpn6Mf+RtjGvR20ISBeOAl/5sN
UNqvUVAdycYeyErG2AoDXYDm12hgvVQZMOgcX3t1HYh1bhTMHOHKYBXeuNm891D0lFuEHliYaFXK
ZWTlxjon8eUZw8SlwleisDDmNLU3R7w0FF5V57m/LxRiZ0WZEAwr8Zm+qJqszb8ki2zoURfzOUXR
if/FkOH+bAJVkidsjKO9S0C7P3t0+dY5JuTjeFB20k6XLRYlZzGDeQIyrJyMUFx3L/UAfy2GsF85
s3FhojBPVsigwAHScrE2zdx+o+FEdWHF+blEukv0SOqLH7CnBmozxETbwOclwq2xdOI1IZbJ5f+w
d17LkVtpl32VeQEocOBxOUD6TJqkLdYNguXgvTkHePp/gWpTKs1If993X3RIITKRCSKBz+y9Nnlu
8jgWo3vQunFNHysz8H5ppa5Tq+2NbDSI7fVfZaVMyNbFgAEI8Ajval6yV4XvHUeF2WxG/DEJcedQ
Xkh7FQIqrKDGGesiU7TFZkfgkSD9gQhIht5rMnu+iIC/PGeZWA1xnxqpTUbW0t/34EWds2Qd8ZUz
Mp/BcmZR97RQ4B9xs/Qae60uVvl2jb/GNeRwk+68BmAowxhSKjKrSK2CJEXmVXq1cxavnEQorYTB
+iFLKc1aFcLinUb3vIyKkckSih5Wk9pKFoMZbbsfd9gHjgJCvT+dUY1nqQMfX6BE+9BvMF/agNW2
3ibTEMy2sMYVra+pb37lNtkPPxP9jznSDWneGlVvlxhSiKHeOUO6Cm2QeLifKNdGEk5Kf7rIOIcJ
Uo10vW6XE1c6Qzw4ppZfmduuoEMRNbllKVk1UZLLux5mb6ADTuKyVHm9mZn/YZsT4uRB5t/Gsc6j
K03zfV4ndyJt1MPgjFa6ibTC2KR+l1Rh0Q6Ec3iDS3i8ydkOjcyLMD7ooFsLcyb2QOndDp5p/14b
TfHVGFph7vy8dxgjtEsCWSfyCiz/WUev0Pvi1JsDQwQzLk4ZuTfiYFXj5wQ05BAutWXfA4ZP7TWs
Nv4cd5Z+JmiEuQgN5J7aodq4HO6mcMxmLxahrhUhn/tEEjp9Z4nIpX/z1qrA0POzIWIGCdLopw0y
0uo4Sd2+TYcoMwImf9YFLdFyqqJFh0ijz5t8TN55j9nO00uxY1926yT9iPbEci6oyzHzqTz6TKfo
7zDsTfsGyMM2b/PqNAq3eUbjdGtXrn1dr2yedvATGcRXBLWLG9oSEqtSBoSe2YA2SBuj4ww0+o9a
gJmvGQ1/ipsUd0hrYSia8uLQr5GIZPnF+yyb8j3qcvz8bdN/MyT6rcbp/MfYosVimWFcYLi8LIZ+
x16RaawWOZd8mexLk7baIct6+Wq3tSSHNFeSzsw03kp7bSVGrIcg7Qqd5toACSqwFf3QXA+FMgyo
ZJcTzXwcyRtFBgCeOI2QnWvj3PpBPjnWY7P2LqHB+OKr5c3xk51ZsU6Ea0eqVlnTYvl9z2s02hED
Gv4nTLTrI784St2pTzkREiTWZcTrTKihzCr2DgpWAigowLHB6KBGgQYD/tUdB7IT6WafhgQIDMPH
/AncwpXLun7wjPniywQTcB75B81NGi/wzNY9eWC5CcUA+/tNkahx7xdeeqD+qL6BxvU3hc4wP2hQ
hxC5Wlt6MOviGDnZAxG2HnXupJjuzvaj0GqiKgTcswPZzVEoh+UZRhTeZ2XHLuxkYKTk7XBnH3Xz
M3BtWF/JqDHOENSa2DvsNxsuCmqpZnmoFUhbGjz5mic9odjgBW6MguDmYHLVV5C603YyzAG0r4Rr
Y7fLlq1wj9bNMD8ZCAnvFpH6d5Pylvu5susdxNbh3ui65kzymP4IyIqmuG+7vN3VVKvbnpnWOwoo
UrjVWJM7pTHim2Vi4s8ctcASQ/yDaC79UE2V+4ZvlmnhwqW1XbjlhAklIROFGM5PVXPn9yTpRK43
OTdGy0CZb6S5s2ISMpDWNqyW7eRU+11z34o1dZNpGmfWT+bv6dwNj/YUt1lI7AJxm/pM4h4e3zKM
FI5MQQYihMN5HkO0YYSRpeZWqNoPkEDUN4rpacgqobtgMZXXwtW245z7NzAXiCtzZ4YjR9PR8ptE
F+1GkNf0uegn44m4hObGbbz5UZeix/DmJP6D5avhMHmDOoLzSq2gjiwZMorS7zrg2K+lX7evwLe7
+2osopcmj9LzqHC8JdJbngUNCykKNVFb3TRvI9AvTLor5p5EeOh1qAZDH44MFiaAMe74zPqP9jy1
emr01MbSZkP8bfVEv2eiEJtb14vqE1hXi1zjXM5nxuVlDuJKGHiFLZPzOMhPliKPw56YRM+qnAgb
JfroJFLhfDV4fcBgUZXeM22T5Hjp/iuDlf6gWwsPeq8iFSno4z7dOWnuQIRumqfInYCZaQiTSYyI
iCTbeFJdxrbudn1jMVX/b3H8vyqOV7nvXxXHK/P18F42Pdkw338ZCqy/+Y8S2dV/c4CcCsTd6Gb+
VR67xm9swunxdW+16HyIpv5ZHtu/IXPHikQVLKxVQ/Dv8thYERL8uIk4hYpWN/+j8viP0wFiH1jL
UrzjYuNdsNH5Y3FsASeMW4/eDGc88bsLd27DiV9+Oin3vw8bfoY9/HEfjxNoPQhybexOfM4/2WaG
etIaDBXLYcxRjSq3J8PQndwQpuKw/etD0bv8PO34OBSaK4x4FuKkP5ll6pJ7ESTF5aCmFGcuU/Cz
YWDHFev9H3Y5iWKiQ3e8wGvyvbn+m8P/UcvCJyU+kf9Hm4TIBLn2r0KzYvFs6RhM3Sv5ZJTuq5f2
m7/+hL/oDX4/hE2zxSId+OmvvB4W4vOoR6Jl+SCfGFK/UIzV4UijR1ndfv/rg7E1+/WE4jtCgEeL
xhyeXm7trn5Sspkx8Y+KEuBggSU8xXkpmpB4gvKU21F5Kibr2YpkW7IPaAedZyF8NvYBPqbtMu8Y
CPXMZmFWxQIRd0YtPUqXYN6pnnzInUUBHrSn2meW3Ypmfej6AWERBuk4pQkNXe7jqR9+VIRB0/gM
uvEyQy4Jtdkfy02uVeZt0o48lpOcLZQ+q5eZxgF6UiwJ8THcjps6KhfgfUX8CpuMsXvZmVd2b/ad
zVD5wWGhEUxWBwMxHuLbcaoEFEhWYrU3tgG95Qq5XJZj7sU3Y6ZNO7Msf1hu8VCn1lf6jOvQQRyV
lleeGl2R7gygy1/z37k3l0FJcAHQr4Whe2uTXlEJsGGZ/E7x2R7dLLlD5qBRoFPsW0Y5bmUtnVul
zDz0NSc6MfB5cTWiALIkZf7eE9uaThO6b81/Uug1N7PIstvFb+OnwbGKEIB6SIpfjO0d1peS0XRY
0iKCEa+SG5oSNlfYMyPwdmc71gHhUwkQ/hvLOfaPg5eNapeypXtqXdxzCZPJ0PDQZDfANHQIM0RC
7yqWM86zBR/wNcmn7o6oM17Hw/PwVIucxqlLxwMjViz6XYcEH6tjco7KlmwqUI9bo2rzXSl9LpGy
ze7bGrZbJiuxBT9n7Bjt6y9WncMNnmjYtCQ1xreRYFtY+/osLvAb4idYkwsrGFbZkVNiGQfyifoh
Xb3bGgCwKEq6a7Pw7AfkdgGbab61izc8WaOZH9ZwrxuhTOdQVlwLLYSO3ThUak9YwltCxUvXnY7x
LnNNdbD61L/qTpztNbPpbpZYq+/HYt4YZEXewGpqAME2hb7rJBoSctbINE0dwlyFstN951vjOY2Y
c7HAcO5hJuyiyMRxEw2uCHwRf87GPDnya69qik9WGa1DWHlt5vyZVpJnOwIBGGYVay7SUUAMABCb
xlheAV+IvWGm+kHgejrM5UDMcNOT6MamGWF6bNd35cxzgyua2QuCili/mlE7v/dara/0jOoyxZkG
TdQx9sR2JxunYL3EogyZOBmb7qbVW45G7BprZV/TTJYm2Psi2KInpXnRm5cPVRh5sb+Po0ieFdV/
CCOD2sXXkn2PboLvfqkFhkWIHSGpKiztnDrQKeRpMRJxUWhYd1Hm+C91XWeUTSnANTd5NyPz1RcL
iQDDoD+kxIgejMn87PJ31bwifiRxhHRTlzNtpssJvCBw1CgnRdfShg3hkkSReLApnCW70fq2uVJl
FRt8EN/ARfRegEt6ZrUWT8dIi+mTNP2q5nE3qDpmSwpAtPYbSVQ0LxtHTvuM5N4tuT1JbdO0JCGM
Rm2+syHLoSo1zha4Z9vE5pNtN35YiRzAd+VO/f2oNeY7923vmJbS3OsiKWAUr9FdYB4Rx1vNchsV
7FsDM2rm51p4xYUb0nIEPM3Q2LCh0kksNYBykfVEZGo3kUG5nVyoafcJDwA4xvTtQRxjsSlKUd32
pXcsJuM5LxM9MCJRhbHXkd/n0QgweNkg3PFu4ij/HkESDZe237qjYb2PutUwLDenOxbbpR/YcAo3
3BKcu3TO1AXPaXF0SqM7mB5BbLVc5Kcargg9cMeRdT+b57Bw+AIFWqXWIYhWvApchtSni3XFeONs
4G4Iot/KjBWkXZiALJNh6+D44HviqG9M07W7vF0jD/sqzDs3e7ETuzogbaqh4XYFuXGs2hmXc/dA
O81GYnGtSwEmuQVQvEx3Ze9pB0FlE7at+9UVZjwERC6hd4ns7OhlnvtU9ErssWmg1zGsOXSnGV9U
bhE84vjJYUxRu9VABpEx2/adk4ocEnEcf/bWOLd03pPGzemfwBsJ7lwbA877jpNUPJkAVEJbFw3e
O5LGH63W2Tr4nl6HObc+q8lJbp3OWV77ytxAX5JpkDVddzuKZtjlZcaVN7sZ2ZBFFxQIzzY8PAmL
7g0mBF2+c+KoP/J8lESbm9wzWvKonPMgSqaDG6Pox9/riv+u/P5m5UdmIBPr//8A/P8W71/eyz8M
wH//lX9aH6zfVnuCsP5V4v+rwPe833CkGdTp1Gks+dYh9z8K/I8tH9xFkAam5aCNpO765wJQ/83A
qYBnAWShrZv+fzb//qV+W9mz5voumNHTK/wqRc5EY7DvsTSsfJqVBWk2U4b7Vv/00zn5X5T462FW
gSdOdVARf5IaLwJW1bRM2qFfAKDldTlvzFH37ko5sSL762P9WgFzLB+D88qiWDFuv7oh+VtkiBTN
6DCL2r/TnW66wS5qngB0oaEDXJ38zQEp3P90FlF20I+tQnWoIr9WwSrvwW3xHCLWsSNkJ2rr4UKo
DNVrrZU1sg2EIi9shE0yMMm6MTc2UlaCi4jWqvatHUMMm9bakOFzysiRoblfK0pasnn0L5VKO4LR
en/fRjxU5cq2LgG+hkSlElPZifJaIJ/eo0gdnsG2VSd/IgJOi8r0lvFFemvFGQ9wE9zxfm718oji
d962aFOuhmYt35nELoRpWt2L28Q3LBFSJFlFhRmy0A8LcdA3aJudlfZljlfKm/LHYi71HQjr7NnQ
U7KkqCx2pDlVq/xwCse6kge9jlCWLa2x9ybkLF07yy0IuCYoBrM/u2Kob1lUSFjsufmu4xI/cI9r
idfW5AGeDyGblvIjh/2vUX/tAbtdnKVUV79eEtYlrWTx2HnWTu+N7g17sy/zDX5ft28ZFslY9m9w
Zuy5vyRVk+3cCnFZKCOu8xBlBcnWullWX8bOhQkwxt5r5ufGgx/rfhJKvfe/ZV7f4Gv11wS/0phr
4FLsCXbd5FGy4FlKvuQJbN8whYZ4pxeTR46aFdcXd5TjeR4r+eLNSxEyWeo2hlFw7WXszAMrzey7
1BQPiEB0xmK4bjGkUioIvXsr3Xra1UofdgzfmPmq2im/dWWZ7JMq+Tp3WbOJ0bSfY2j+AJ4XOym3
PScngQR00xbl8mqZhnbFyb9c9CUiUIjnWn7kYaprmzzNIj3Qau3RInP8GGFgPkwQm7bmnOYXxM/j
t7h3hi+5QEu9XeKFZZM2pP6JU9Bvksj52g5FKIXsbqsCBZ1yyRU2lQxW+0C0oqZyEgr9Xku5SGE5
aI2H9IX42bAnyI0K0dJDP0KJ5TbDOcOjQ34iWoCQMih7x/UR8cMuKSCjuUlqZ94q12kfIthPF8bz
97aSUgRwXC0ubb49yjYmVuE8otFzf1cl8ECbXuUmZ3z6hXptDvnL2l8aled3qV8Zm3wZhofWHrSw
GryHtvXT7Wgvn7SxYx+zUHsZ89Lfau5CuLrvyMeq8inyWPXsYFtfodq/Qp+vjUOaexJ53oB6b/5a
MXDjYTyNY71xWONl6Iy9xiBbsc8mrK5lbm8dgzEm65vWWS6eLGZ1LIAUzEQWsApHv6MRw/qS99JC
CqEMbKQxJ6Ju2Z5NffZkdZkHRTkQmfIm+eTOQ7L1BWNFFL3rkJydGUsUm6V64A9s8fdwth0XoLMV
ezsyTQz2Np5kR4FaffZ2fdanLXnu5eDsGD4vMWt+m580m3RiD9J2YxLUSAYkWEf4SGbQAPJLzj6q
qjol7ELab0aTjKTH6SRyJfSHyjdeslFqyKcUQ6lv7srUD5IhGbRTDkV57B7zMqrKdo/KPH/T7CZ/
9CfQk8g1uQ3XpWsfJn0oXtxo1rowMo1oRqLnmCdbEU8fSLJ5xwBpgb+3B9M8SSNqCWBR9sEoNd0l
k2JO2Zuusk8jqYFL9KTpMK+PnOiRSbP86pAdRiQweaA7KwekVxdkoASjVa2boMI6Nr1enVIFBWoo
x4WgiTbCjKp5wINaa1VzMofCaYotZEPvWm2p5Yew6nUSBjW0MfwFIv+zWmkv7aBVjwuS7SxAjDc2
G+iN5VWZVvOd2YkHejpK412+akqb2cekPzpxkWy7WdZHTy/8u8JOnfcC01YSmIBH4Xa65VWTuZuH
ObGNFYpYNIKcjKH8YXhd8WLqqEMKklaXjbeU9WNcsnyiUK6RTqo6ByieUOd+PFv/WwX+TRVo4lix
fipD/hTv9ZKCS6jSP9SB//ilf0557d8I8OJ11gkgSgOB2uEfHljP/M1xieO0fBwwa1LXT4Wg/5uF
AIKScvXz4ET9SQnm/MarAbfAO0NJZTj/kRKMVueXIobx3So54yV5F6u87I+jPJ46tNtzLA4e9gb0
Sdgcwg4HLgmRc0s8p7lVVfR5rjzCTtA9Jc/62MShpYMtTfF83pq1A5G2m8wdXnMRgaW1vftkjpsz
XLDiqa5W1AQF1LGNhqcIlxe2yLF9180m7xBPcoKf+06rXj6YuU0paYYnQ+u+2Ssot16x5xbruPdK
bxFv47Kw383G4YcA7uDCcWrte67QeDKXKNX3FaLnZiQiWfIWLeW2K3uAlio7Y2hvvD1pn9WTNC0W
1kGsjdbtOBhoFLiJaE+aZTdDsCBJ25KyAouOdivoS26dGxfJ+a3oVLHp8sT7TNnlGed+mDxOS20Y
BwEg4pI1YsSx4JDiStFdbyNPSnsnWoYTJP5+sfgun+OV3ml7i7WxiUj91GU99xYRWRsNh3RYRKZ8
+YByUDyK+Gj14OCZUDf3kb/o7l5FEOt0NWlvQ1+km7FX6jnRWVHxmC/QECxYd17w6bFsdx3w/tul
W0mmWCnIkoo+mKF04INx16YmvCENh+tT10IXGBsrWQIGMc3bB09mLbSfaOnXs/wB7vwArfo5HBJU
KFI8/c69KRp79a+Ya2XQsaq/7YHmIFQdehQMJhpVuLj2hCrfS3xk+mBNmSV9uPtEV6D1//jH3wkc
EUtvIMhjxc9xg+V3bHPOmTKuLEDDX5DSA7CIXtbYZ5h2IwyvYbIolQmSwJsWK9t/+Z3BS2ib/yJG
gg2oFBkoc2nSehjC5k9arhw+yVAKaMTgm0czGez3RhXYbazBw1/SqX45+9VqfvnAeDGgXqEK1rJK
MtaTQmw1aOZhxV1Ae5p5AxI8AnSQOMOE9hEkVXwwTuJowh9gz2gONh5lE7s4twZEEU3FCqEdIj0+
Ds3KQYvrbPiWEesUpjn6dgrg9WURp5DKUWQZVocaGXxPLOgHYA/ZHlMWlNz8kLcMOMcwV/HN6OTa
OXxwSCxGoEeFCwRP2Mohc+KRCCet4UMQyqrfe+nkEGPBEQFxYiqaNGg5skAiErB45fxmKwtZdjlO
JZysOIcsacCM6Dphvevzal38CIRyVlpjC516ClpbdYeYOte6xhm8tdxsk/qYImHqt5EzQuJqjZTX
j82CjzWX+MZ4Sjmv1pDN2svHu/SKZYxJqrTSKqQV483ajYNKRsOdcut3BcpE8ofJD+sdCVAmLydQ
JoPMQS8BT1mh2/oKIPQy/De3A/aZMxHK9Xnuav7dn9csK8+n2qUcXlI0MRoXxIfV8XdKipthB7TA
DM+7tG2KHwskWyfIHI1jVcIgtSG2Na/c1yP4GDqZUsEfbnIVKjcf5GbwDbTsiyMf9A+DZzbDL+ZK
IxuFBzOp0UlVMq6xfIA13hjWje3NgW1o7RT8bm4uq9jEL967t/jro/NHHg1QGSfZrBu/hyyZByJJ
Vp/wYI19tHOxrj1OXMXoR71yt5jCCPUptq9jOvRfM80UkDR46LwQXKEePUcDB2Owfg6MTnZ8GE7A
BRupxqcrcxJPlxpSZDjIrqBN9YFGhpyyiY0ZBd5B4rv/2qJcZXlf1Z4JbJoY5MDoSdiO0fAcaT9W
xtear9S5rndx2DpPHLCUd1LY1pZC14hpLUzJ8D9i61N2VnM00avs68JLkrDjiXGtRFM9IEQjoxyZ
DEnORFUbzzR/LkaKbv5uuaV5isjKOWSTJ74Vtru8eDFskh2ky+zSdk763WyVJPfdno9NWX14RHGO
ptpzR/vxkjD1YPSbDzWgSg8UumDRg4K+oLokkqvwVbXT4d1sK8RTaBvinG+ALPoz+zuXlRBSHyso
l8h8ww7anwccjcz7sXwfx6XLb0qaz40tJVv4CMGAA35uAcESt2CNuvK7bfuJtSXsYSrA2bbzqRqU
d1tI7UGUEKq2yAFN7AHe1ItLgcinvS6WmRwn3d8Pk6N2y2ROm77Nmxs5Vni7tDG6ryaW+0wMgyrV
mvFBVNUnM5asRga/X+L9hAP10pBXZDxHOJheZFJ0j4W07hN7ah9QySARinvxEKFGf6zcIQmIrRu8
u5bN8AEIZbPViSb5FBtSoWv2nha2B68jUuh9rey62wMUIn+Zv1uBn4W+gC++PKiGXR5GoXvMnnXg
AANmSos04kIkcBFiTxr0K6bXeqvQjm4x94qgz8wOJcY0JM22kAjQKGIT+TlqVFkw6x3tbEeq91ge
5rZg+qsJq4BI1NahR+f8ZFQ5RBg4cHjwUlO/GzNrDEpda46TQ8jYSkb6rHi8n9HajbcoOT7Lzmtv
mn6ZUSNK1RByXUWoldkRbNA7G4+zj7oQE6K45sIZfkyW6j7PYELadzXQ+F9Th4HPeUCSg1cyr0I2
AZ9oJqMrTpVokzs5C3OcuZdpwMhK3jMaIKc7jb2p3bEBo/U3TKyFs1t+LwY0Gi0ZYtvIno1rlg7T
G17saENd79z7jW8T0YV7M8grRPlIRt3mFhVYfoNL1Kg2yahrVyuv7Y1rjYTflIXL5tJRp6Yvq8/p
OFj4YJrnCDk1JszuZeCRuE1wAGN11t+EER8zUuou2mxbn6SMzZLv3AylKerFlmYvOfexFd+ZJM7d
jG538EY5YMrBx4giZ4zwUjaKMCrsBHxCj9VgYpnFJm6MceDhp91iODL2eppcStLSDkYhXqPMcoO4
IISiIwUgrOSQb0hFKjaimbgOjIaML+X4PCn8aNnETM/JVOARvlu5pgpmWWNesWU79x7s2ce6w6UY
dBUZQkSmYXFc1E5zh+mGSF6bCID42WFReK7Qi20ILmvCuJrtnY9g/BGBGcquDAAYjG2RbpRRZP2W
fa0WjINjt8HcJ8l9qTpzhxV4ftK7bjrPvam/ah2/ODlxfcMdaEKu37POH0r/ag460sFqxAs6GFZz
NsulfUjsspgwxPYSL+za/iayFqfRykZEbg555pFz9IbMu9R5PD/rfRGR6VaOL8mYfMowt4e2TZ52
ELMRfJ4an0lXrwaeuL15cppSHZQeG4HlJ97OGQnXAvSeSXzVpY6c1XNHpyNTKrH5JpRDHjaK3bUF
77g+Y29DpQ+Yad+wqX5pyO8LpkZ1j1FWuzs0eFEGh13Ig8f8YMPyPmdLxn5HdQyyojUBrMsSa7PM
cX+urZnRjp7M41l1Vr2ThqHMHb+jbtxSJV7ocr/5lrWj88Mjn26LZMleDomP/LBBZXfwMX1si7W0
asqevcc0A+KywLaH7Iicbaq1zTYDr45F0xtvJISXTTQXyN2mlpELdOBznpXT7UKWpfnM8y2/gcNu
JlNY+qq8z4YUAmJu1w8jKXrOA+nfJlkbpGAE05BRFlTSYgRm6PHOd6qKL5BOLZjDzruLecgSUq4u
bGD67Tzmvgoz6JLXnjJglfc13HkRVH9yy6mqNwsEryCy/Ld4FPXDEkk01GWc7EAszhe7t+3btkra
jrVNq6GJtseTWRfDWYl23hMXou6FPfRPiSxPrWzPjbeoTesbLeusumeo4ep78ly6k5jsaN/F3guF
mty5fbeZ3M66ZtNcsEmc8pzMAlWiwQX8CTEr9ZeF+QqwvCysMellDDedBc+N3nxReUmsLLc8tMSw
Ocn3rEZOCFl0l3zstPLrPKke2e683GkJI+gtUlZ7/OINzVMzzlXuohEfrWiNIePmdowUrurEdB9q
Ubw2ZqGSM+5CNyIzQX8fpN/cKKwqQepxLRxzmUb8nbMZrQCAOPfBxxalv6Yl/9TJoAN2fo/9GHYd
mYIQH0LC7F7JUqwRK3de7N7HmI3uefodh5InqDz81Mn/P5YXf1oo6FgD2LMQhccex/pVBBX7cpyN
mLrWxXpK/CadqJ0mxtMyu/03vxN/h1Cy/7ROgNoB75Mtj6tblApMCn4W1RTJNLP56Wtovp1/YZrW
vPXcmN9zZj8JGWnj16SAvHQbT94Im7FzTOy0vdCS8iazM2IgPkDmTltZ3V3ZrTm/mHybUwf/5mVK
4CpMeU0BaC1VRNkG2vGbHrNooqG3huXRwJ3bbVuVd4cU983b0GT2e21Pcnjs8Xf0u2UQQvZhBWPF
+sxyvSGKzlM0bDF0Omr9mF4k547xhB+2eWPq2X/jkql+wNGrHk0/pqIfPnJbHYM0HZ30QMXumrC5
9d6p02AJLbouGlS9HbsJAHkfsV8zP9jdWXUDibBLBKSGHtr520cvXKK//htk1jrt+MkXh5QJL5zF
pAZtE8LvX3HVORVy5PR6fbDnNWPDJtuTMA9R0K799dW1Suj+dCByxygD8OIbv15dXkcH1xI3cigg
AL4znAByMHzA9z5yIPt0jfzCYUET8pFk8p8enQ3jylgCLosI71dFGpnOwkUYVR/YLxhPjpQkHrcr
TqRa0yiVxlGdgbVKqMk1/OOvDy5WddgfPzvBVMjHfORnpv+nzy4zm3TDqKsP2JN59UnGICvdvDWe
MCfTNlvC4cNP1gyz+/cotK4aafyq2C1WtId4+nhD/x1v/t14UzBh/Olv96fx5mM9Dsn/Cd+7ukj/
6PZCf7r+6j+HnN5v67DSZTWtrzkE3Nn+PeOERGTr3BNWyN/6X/6968bJtWpVUZpaBtrVf++6DQxi
QJMYSLJdJV7gP8L8oYL89Xpz0eTpDFoRfND3/gqZGsHeVOAPauSfrpBbH10gQJAqJSO0apudU2GQ
CKs4864+kzFoN4x8b6Wj6s1UJJ636Qgdfcqi1Hz9IPgwx6kep96JPuMuZbfMSrQ54B23D023Zv8g
l7TPKduTjZsDmQ2lyp1yM+Bw7AOejb558Qotuc1FrTHTYJN9Gpe2aLfsp2KCfuZZCigJTqI2y5RV
P/oSTBDjp9na5cDU7xL2Qvd5ElmhVjMM3OotLO8umitqd8euMMGaiUHbqHq+Q7BtbpimRg3RJXj9
R6joJ7l40HTYRYJWAALDrZg3tSHFdPjOUUAldVaFPicasYwEXrOuJlynmLcfkV4qohwPc2eoMY9q
0j6kfM/drUkM1o+UP/iB8F2IhpW98nOXNPq2UEu3Qc6j47Vh28fr8s5eydLpXyup5w9+zn4+Yj9z
J0ems4Bh6ruhR4R/Rpwf2xuLkRVZ2InLarMoCxGFeAFYEjHa9K4q5321TsOJzEQUlWx400gFUDjc
K8O0BtC5591HRS1rAAKdLjYRpAtSqAtZ71yvZMi0uKTflc1dLlr/3kbTnVwyeNaHnvO3g6njXwon
bfdLkshLAlxnp5I14xfRf/0oROtdNYLSb7OcZZA/ezZK4hhvXNSJp6hmPAKNHmIETrSjGt36Lu/a
SXtcLGYMjpuJk9VLGbYFeckbcLXo+9meDnxmbFbMVNov2F7bt26sjddGp8YO/aW1ndCOASgJrfS2
HWUCPg4ypK6qgQsCnM9/NMBYsINaGEz6qtN8ZAbmZ4NEqz7gyrONzZBo8t1bmG7kPNsvTWO68W6c
dTSHKqvSA2ONYTmO1D/zPo1G7WKwDJShNFwQYmByqyToTR8DUWLnJAHEktGDS5GQXxK0g/eNB+Uu
EJ3jPFditm6SXtNlHJqFpekM6LJ6sUMHP4u5j1HzESNOOIhsoB1wIojYsNPaeyMWdkJARegeYzYq
Hf4+mpyoVM2xlVvP9bxd3InFGA9kWWvDCe7HqB9hrs3pq9H0/nCy+R/BhVw+n4it0h5nieHQyCNa
knI6MyXvX5O2vI18M74UI+lEX3kuZRMTMnDMlnaKS93Fkobr+9k29XSXLjOjfZgP26ib853u8K+D
qRdHDDPyJR2MdKP5SX1DI9pu+2Z4yEaRsINtjDWBzGAImHMNvThOFDsHvt7aEyO/aF93HbJoAMxl
E8J4bDZpRmS7k6sYPZnRx98wnhlIOkH4jog9jXEzky1wJhwuO+JLsjezX4GIZiCe9dER1lEf+l6t
ToDBxy2kSpLhhiSBg6722FG0b/bCnYaUxRCzyV55AsdLapD6i7v8FgPj47D0aIVjCYEqs19E181B
No5jAOSiviOw+QENjhFMHRgjrUcnSotOiEhBwLfXOPEuYt7SIzw561XTf89m91ZfjOiNZQqDIQKv
Hytn8u6yqe7/h70zaY7bSLv1f7nrCwcSUwKLu6m5SFZxpkhvEJQoYQYyMQO//ntQdDtstT/79r4X
7eiwRalUhQLePO85z1njh0PuJtBzh5TAcbFCUhySeNo73nxOtI/JzjHbdRw3+W4SGetNehzWImO1
jo+4UpvMn9+qULps2uXtrOoTcnC4VhYHP9ZBNZ6Est4h4cJ1qcPh1mtyf5U01deAu+2+TCCUJNBy
drRvp7hq3GbNeAwEr6qSdd73xhJhFNdTPvWrjoquKrGaTQTLeZ3JqdxYQYeK2Fb1F6y+OF+KqH1O
u7rlwhiMfVSPP7raQ+uO02nb1ixN2ISEv9qZi/PpMr16KfV2LJ0t89hhCcoOduG41yUNLbsgQLAg
qU/QjhpD58ons7keDUPed4qleDLzaEoLSCet6xRcFd4sz1Ojy0U3XaQkXyftQ9Do8CXQNNTbbgGt
uupibOG+/lpWiOYriDvZq5J5sRNdT6Q0sfxd0bTBviLj9KbADHwJ6sjYtj3JoQoM2Ln0LfR0PVCV
S8/9vc1/ODUsmm4bP3qRkS7MNbSIbhehg59rDKekEMc2E2z10+gmyAofWad0NTyppJPrjC3ZUr+e
zOwXCtRwrLvr3hL2mUY2bCRFPNYrA/DVXlahv5dKZldGHbGEw2Gw0vCNXlplNl+44gCsJB0kHtOu
Hzz0i/txbk1YtxAUfJzQFDhyGTjDzmR/uAbHTcmYVS/F145xrEOZfrcbp/jeFTQ+0vm7NDa22B54
DnqItEuMZZ1O2t0AMxLPVdz1D3GQET30u2iLIuPf6ND61Qi6H0lSRq+e5S02ARAMjeM+l45rnPhO
ZWssVYDABPe5edLhc1Q7+xFhkvXIN9/S7p6ALPvHcO7XdjK9Tv0U0JJXWRsp63dd4C/ubfOYEVTd
ckhR3yPiXqssNWjP9u300NN2Xa2tGXwOcR0BTsurt1hMMlR171xGbXlTzBCcCuTPaWVFBGHWA8BC
xXmqmM/RBHkK8eWD3PPTVG0YpZgvEtYKq8HuSVELQgsgP0jqYElryXnoZZjR/rp16gY527C3WJKS
dyvLngzLqzY2lt9fY0vSKpn48nst6oeuFz+w/a9YtSGbG/IN2p65waCT7MfMlFfBhOygOI4SFMc9
H82K7HF3NZTIqdTbq22Pdk9xQE9+e5yKo92ro7uA9lNPPCfDlN3kXPNI4d6CCW8CYuttvCapsEdy
V1dVOz46M6g1wZYXkWmJPqTzR8v8uW7trnrkOEt1ejPzXoeFPW3gS/Rb16vaFfJdsSNmiWpp+N/C
yHoV0ELeTO3at9gRabT03XstWq4r91thFeKYzB1qItaMayKvl0Lv77IY1swFH42f6XhDWFatSeUi
sCncI42D8pnomC2D78V7Jhb5QIN8BCB+QPxmerylljO8q8kV1nzoxOf3SWye46lB4pWKS1T4EeSW
Ee6cgLRsq/R5zJT3EFKIh8aHbEPipkQEi7sKEYu4JyFOFxkTwNIIzVA33gYF/KVNk/0ybGpR3sKj
ZNc/BNeWqn64SXTQFhpRbJi3NG3ezvmygG2bNWsrXMzFr3VOz8LcjE9D090p0d7ijjkxrSWwv2Zc
4S1oFww6CAekFmAS8DV3EQT7jWsnLltN6bg3Zcpy0Ct0uY69emVNktiIQb0FWdgy+wSQ/vfg9w8H
P8Acy6H8f7c3n3nm/fXB77cf/dfBz8WnYoGdpnqFzOIF4/6vkx/ADqjq5GAxQcPX+KO7BQsLmThs
i6gQnxaW323O9i/8UoE0gCrxyQ35D6qwyfb9fPQjp2bzDeTo6QuT5j/++7f3B+7Dzf/7P+L/wszU
RZ036YGtFpqCCLKY8ocmAr9p9XUw8nhTGFVx28R0jFoTbLISbjZdynPDc88avCW/PsMo3lZuFemD
kVfYIVdgzwoTxRvOaZG4/s20eDPUYoIg0OAcWyb4xStBCChnej32icBMMaTAdqABYqDEvObfwGCD
eoRo/aawbtbbHqVdwT8W/o1gVfleXkS8oDB4AJeR5604B/hqb+UyrrdNtuh1GJ45jGRpMt1ZuoWX
SiOaRcx+WYW3DZjbizWCOWZ8qFPLPobZ0sBiq1FSlsHerLqCv1n5V/TcwIP1Ue9y9sHklZbubVFe
embx39xN+bgs3TsyFKtPcqtlRfBzUU+fTKKX73Kp7qgqozvYfWw/z8sWvGQIO7AxYYvvFUATIwse
L9gL3AXppctXM+wszoq0AXsAZeIjrReXwGc/LRnvNyJKJrZTu+aXoftQHVS5wGsjfo4kEy+AuOOy
w8z500ybvmpuKUTvOvbmGFqCkb+1s7Qg+RmSZJ6ay+k8dznid4Nps51KCkp6ZXy2MyO98akZWdVD
Mp446/dHuwqyIx3e/Mxnt+EnfrKgoNfbcF3zDn9+oIiDoIOjBOOJ1S2fMLk1ZAFzbppX0G0QUQYV
AtIeqVwpNmx4suTeKCz+CtWULnNeH/NPv4GvuqZpBNlxoI+0X30Wngy0I7uAH2jp3uu2cPuDWgI9
X2qvobUDA7BRoaDNP8DA806YfRm8TPnwwMjh7qYy9gCILlze2WrSe8ly01lduJdKFMhtDhfgYt7k
qi240LPRAdOHg5PfCRYw/5RxyGuLF39Ni/P3Lma4JbnZ9lwNVs1aYhXYLbaAizbgOwIhjzbYpS00
gjwdGRYk3bC3+OrJQbUfeOHQBcwW7HE86IWBCwdyKaDxeYp/2jOyVJVMXXizGbRh3BXbnksUkgBf
y5tKIakeZIqUsRzVcEyw2yWgOHc4Z4oMhLhtRii2eHe5YkLRUY4zOvyR5bz4PfrlOpmghr11y0fk
2yDWCxex2xdsZNck/Xn0uQB80AhwB/R9sL1wmdmchC+XSzgxJO/vQouvli/7AiJ4C71+fMCTwlty
qdG6FJEVM8OyE1PIsrs41Wwr4I1rKTiB3Jv7XDCdpGw6Lz3+9eUr0eUq2XsJ5AEsUDi/8Pciq4tE
v12Ku7Sr2AKw4xNPzlCFLwbNPcZKcdqsVqlGc8gphM9XXjVh/CKiuc9jlwMz7dv8dUz0h8/SdG1O
/Cpy31xghs2XvMnQXznS4pLqLSaxT5Aq8q1NsW4VsLTPg5tZL4pse2kRRYpH6c8NOgHXnWxi+y69
FDoZNcfHbRvNwcaki+zgubVJx1jK2kSPBvNgDF4Ohyp/X3usWVzNzdThbOZLwba8Bruymm3uWIUF
z+RhakaYS4uXKJloNLBhmjxkAbdn6MNY2wqR8/tcnE5ZRjA1bam0NklAP7Wu6ngHWS88KACvycqK
M/2WsS4/YKKO9mHLDudSb+1lixfLj9N6fmwI3jiHseMWac/8hfGQc0UZwQIFzy0DMcec2aVElYRG
a7Moo+IhZFBKTcxEnbNwtfuBerU8WRrvEvo1t4JCRJsVicMFTicXH2vdIPWb9MBS5F3iJtMdLOvU
nQZsyXWBtakwK64XwSlse2nBHQJkRhjZrDmSpeu8KAgUcvJTdGT3wXLlSAEPlpxBzW9vkQ37wNiT
MBiiwfmLYQ3pNXipE1ek147q6gM4G8yAl2vesUBbrM2Wv/PaAlds82l64twlffDCzplSUJRU/oge
i1sLBcrFKmYmDfe3uoHsnXNQ4noMFjuY0gus1V5aPD9vaWlDJmSj5MDDyA39ujuSrdAgYoi71Fsl
DHHneHy78jwjetgNvL0sC3eXb1zR+87LgDdGrEft1vHucmelrpcN0BD7+kUkdlm+DBFN2F/cYemw
y53lLiWWQhVn8fQh7wXbtNPFvYg7a+1H5UcZj8GxVmp5GGhzeTiHEXfgIJ/pq5xdbmScRfgG+xUF
IqsxjksR31pTPB24/djFsBFRxwjBSoZ089qDOXxdlA2GGUuGIxYEcsH5/Zzm31MzyaXPrGtELzxK
qVxr3YKPqFx6ALJu5F7Ld7LexNxiKur5LDddQ0DxPqqyeKkiUV8BQOzoQZigdzCH2PUTXTnHKlge
RM1iqcWXpK55xvh3opRmyHcX822tbQ7TQrRnwmN0DMM4WveLXTeRGucuJtxfdWttydVoqHzYe+tW
rk2Z8h1YdZ/r05ZNahN36lqmAVHOO3NZtQZB+6XkUI97EMsokbU7BQ8+ZUcbXra1k5crg+dEVXjh
EUJVwV0VltcSb2MdboINU6YiH+lZeNllA/Vn5WknXavKKg7op2iWiaP8tYFRf5eVVh+sqKLbmd04
XIFGzog7yAEFxipJGu8mD6nnEHBZ1uuo6VwMITIOrjnCzbf+2MqrJg14zCWjxpZh4OctBvHsiL46
GdBcbhMkzytphVy9wmEoiX04WT59LStTjRwjM9ld12NvnqTNZnTVGO74njtV+oxT55k6LZ3fYBZ1
7nUWL0GZZsAJOdcB0R27/9FMdfA19gluNAMM9pmLbKtdmWz8esKEYaTBwezxK0xjW2wLX8FXcpw0
g6TYpCe/Ric68X55HymZjt3cQe6f8sTcRsnwHASp2mWJrPcyHH7FQ70sJuXXSI9EiVzEKJFra2dn
eNSs1q3vG1xbjD8l57uxGL+lnfUE9B4b9tA0Jz+J5/tinlzo1F2xA+vt7MOglzcqSJxtpJsnHXT4
4mqPyWjbFLpCvwi5RXEIW7sDDq2IueEKtURcWVi3D25QNccs6JybijXAmjetZNWs3ccRa/lq1Nrf
GgEA8JQ7FsiNIrtzdAqOwL8y5kzc8hCYGPn6ckcjnnfMa3u6jyp7bZd2ebCMpt77yxPCBpG9GaOg
O7gZHxiN1sZbA9djk6o6gMK1OB8LpO2yNB8yEjQ3FQ6RZ2u0jJupUECJDF/yc9ggvK9tn6NchlAk
r9qx1HtcV9Vryvi+eISLnkhuYWVPSEQ+ex3bOJueNtc8eSWSo7PrpDvt0iorgF1J+c7hlOyNzgjs
oKat+xo6vYHjt8LfNcCemttub4ZZvHY596+5+UebGfLEPozi9tiX7oeKI2drtUDqhTLz5W4ljlNa
2+9hbSq9gU06vjqVRWO5UTMJsrfZTJmZbVvteE+h5o7Cnb8utuAPkpWRWPJgNlD6ihguQWORxnYx
9y7LC7YvK2V3adBxI/Fr3rvWNR/6IcvFNnLzemIW1+A4HxK0u478UbHw8+amR4Re9Gh8Y2T1Fo2a
dUCJmSoOka6rRcVuFz2bGGTiHfysG14MEss+j73Q8lbJooPXCOIYhvQWI1x1Shq+F4ndDi8KoOxx
XrT0YFHV50Vf72I2PkEqgRst6vsQsXHAvnVR5ZNPjR7SNYI9tVfRDcLjGedg84W8UHcN4evkZYjQ
PLzCx2JR/4MBLWxFDXSIbnVZEDSXZUGReShZhr5sEbhrBTv7c7uQXlYNEQc30KaXFYRathHjZTER
XpYU4W8bi+Gyv3Avywz5udmgT4g1R/S584hcs7PfoK7x1LW6dCLamPg2rNYhdItrbdb8ewAGeNjN
SzNEDz6y3rodM2h8qecuh4ZBxKOhr1svxuTpyhTziHUTRZlZFOVJD4zlMBb+aU3/bw4F4bgc7C0O
0JbkGL389z8cncGC5FDtkpQFS0DlQVFV9vhldtC1Xp1pJkDgFAHTSFUCCPBWA26e/R8kh78w4CzR
mD/7BBZrhHACsTTb8Cp+iqYMsSeq2WqjgzsGJD8ReiNiD4EIrbMwmjhi2AzVHpd5jBdThXO5VV4T
nqOyFU++2Ykz2BCmyr9/VX/xtpDUoUiZsR36jVxe9B/eltLuwgqiYXQoDUY/KNts2cakYiZdAAPr
FoBlsekK5OuN0Uf/VIv1cxX38mbwx3vL/xjBhfNTYVI5yawreyjB7kSr+iEVeoI00Gi/SPlA4sk1
mKIH337KZGgcxTJ+k1bFWdc7Wlm3KNqsCFYmfYvxoV1O0EpHZfpjaVl4GMplff33b9dffIj0Ogl3
MXqYphQ/v199ECWGDajjUIY96MpgGkGp05EDFKV2A7YBJUbtrTc2+h3G8/SgW7QKHXOWT3C/PBRg
kf/hFf2ceArEEqB3SDw50hY8hv/8CRquNuaOuQHzCz2kKw/a1UOLJPXSIPGwIqXdFknBoq3cwb9y
VD3ni3KoCC4I+PdomY1azmC8s3//wuy/emGe41Im79MUsDC+/3Rpyd5UwJF0fGCRxoQK5aHKO3pz
hlqOTEV2Uz6CN/Wd41Qxtm5Gu2qyq96x+ofO6QP0+H4IXuDScVqGy8RcLFqOsRdXWOTMjO9JROlT
Hi6LNgrdxVMZmHyzjSJELclkPXanCWHw4/NQCqeEZrdLdU85qRHT5+Lx71MapJY57j1ZqrapVfEp
GkKA5gT092+H9TNkis9JWhKCArqB4wU/e7FiYWBJ6qWxt2OXe6BVzbQg+azYuGZGXj03/uBmsnwW
6qU1L+mwIuZlTUk3P46Bx7sV2Uv/ujuzPSMhxf/lzeKf5HFo5bnIQ7YFNXU11CkqTTd0dCNXEQrY
OpGqj7ZRTyhkngr+dNfCYspaloQubGy7+Lj8Zf+rRP+TEk1p99+Sps/fv9bvTfanhCUgieWHftOg
A6h4+DMdF1cG3xqulN/dR8J0fsFGBOeTG/ZSNPa7+8ixIU3zTPFJYFLeffmu/Uba4Jb6H0jOlr/c
Pv7gbiNBidtIgOoAAQv28ecqzNzuDDSWuL9hkRj08WnOapTzjCORTicwSzJxJgWOgWLD78xkdA5n
STY8uVgCj83cho954YczeAXbOrHJ8W6tuvFuRvhnmLsp2V5bDSsTXAq1saPqunuF0lOca18yVPds
pbG3+8nZGn0bzGgN+Eb1s8WZO27W7uTaZyrF3DU1Enpn9n5xl2VmedcOQ/fAeYEY+5J6eSGfPFw5
NDZ3KxyI5SvohfClM2ODUmu/Ch6wRRUPtdW+eH42HxuiDntu/dGdp935wRR5/TAyFTJP8fLnsB23
xmAzfKHxrskVZuveE+PWiR0JEizT+VOXpOO7lAXHNtBwGJJn6o+1Vs2dJ734i6YYZiJJBQzBjnpr
F8RSPErYEw/u6KXb3lyC9IZZjjfoSiBzdfMMsZ5pHjGcsg6npw+dwOn8VLYsn0wxfs3GkbWl3WfN
AUR9cqOTkqNYiSvp16Sc4ekuOtkzMeviTPY/xooRz1d1QSvmKsbvvQH+IJe2Zd+nxcpI7qyAHYOR
R7dDlkKeoJFgM8ec7Bsv4NgHwu1mjMvupjREco5FAYKrLYbpEbGvQ3UNsnXrZdYtM3lzmCxdnqQ2
hxvootOBR4X9njp2dZUGon0E/peDzsqMbFtaqgXXH1v+sYDveZoJm7K1w1ALG6K8NxBsH9vJad94
NOc/JqsxnywCQYu3pMRS7hoUTcodE2r7ynulprUeywB+qV+82nXS74Svyk3JvnjLBnbeQ1g2tjSn
jB+aY+StaBVt6WNLpYPdJ3rFCgIEV2AEwTfbxggBp0mQhTVmu8S7kMfZ1gHVe19CAss4m+p2O4UF
oq0J/8LHqI7867z3Vu9fU5mDjmO76uzUJJm60iQ8as3k7Zpo3I3CYG3TQ5K+UTMd3nmkfA7WHsoL
Fr47U7GCTLJovs3cVKlV6obGN7+yfShrJJ2ClR68fFyBiuyuWRRL7l9xfJVkNdZ3FL1NSuH0ayIK
BPYR2pWHPW0bk8Q98URAbgDw1t/X4BveNMYed2XkarxWbEafAidzb31ACzDICV71srxLzKZ9sBbI
V+ba7bTq+jmDN4xqs3IrTS933NKV4TWtJGk8lMaAMR4VhY7e8GgFoma5jcCMXiUwynDU5UxG7qh4
4TaigATn86GEJ7Htu8LFi6eQLWJRDvuuV2oNuxh3WDwRHoiK6LaOHWvjac/+NU+WKAffbVofcNUB
oPC76dHzMjtak9k1tjOVsgdgzQW2xB5LSYEAE657Q7v9rlQgrVHfheCYX2bF2YCB+CIFNko8ghU2
Q0frkDtJouYNdIIPRDVzAT4X48meJS6PJHOhhqUUUrwAcWQcSeGd0h1kROPGTmhto/inRMwYRz0X
K7omxnvOgOJL3YQlcA5l1Urvcq9yzfGEudTH4LSyo6IbrR2YXyiNC7nQ85nJza4xH0OyapP3HMmC
82dr4904VFAGk/JqVlZjUPOMuDCqjUPwdXis0zHyvzkR8HXWzzI3B/e5oFNcy62vXCPbGV3Xph+T
VEpkewTWuubBxZr1v3PAP80BDlbfP8yH/2ZFvq2/I63+iab7+SO/TQGCVgke/QEHDHgGnr0cV3/b
RAvL+cX1gFzh6YesdRkQ/kXU9X5BeQz4OQkYlowsE8K/xgDxC7XZHPCYEbAO09r9n4wFOPp/Ggtc
7liexMNpWuRKqN/983CfNd2cDV2Q3KVZgNZAxtkc9aqOMu82CJXj3DugWBrisCamNfgi2ClXQ594
4IT6ahjPmp0+XzKg9KumTTJK02LMnHS3uAzAmbn2WCHwqC+zQzSX5nDX5tr8KEw1ICXLhkKKdS1i
HxAg0STUwSq2SJruq8ChnzLW6VVB1dmPhRYF3pHj5FdjSYKPfJOuZOZoWqwint0tkFOQ5+E+mqt5
Ywe5ecuihKhvaXt4BDVrHJxluapdTqGO8SxN46tPz8+mQLahADIg3hz3Ce6YOWXH4iRH2bvdrwMK
5dbh1u2R5fPih1r6GSzxapzuAK2GASULQ1FvbcXfeOV3c+tvG+6/m4BmsGsdZjvsTEReo8H7mgx9
+9xA2UvPLsneDRt1eZvUJpitic4HdgUeymcrYzyRYTAG5K9N9lpME22LLxj24ms4VSXTREDN0DSG
0aN07DBYNdUUwvTh5R+JZ8bX8zAiyyWJcPeeM5rHqLT7beDR7sWAkdIyINHEEMbpDvky1SN6NZB0
aBSyL66MpsR0YLjg27EKz/6tnw2yAwDjcEmkc8IYBlMHIHLqNqS76N+b3lrg/DBDa64sXKx9MWJi
xiKeoC9tKb9kTWSk8Q9Z5wQooyQ7NInT7Uh0Umqqk460WSzv9eywqyjjLNpYU1vd40uvryDkE+sr
tLg33GDYln3hXYWOnOjjq13vY6AeZTPypTlLov6K8acqYgDjU+CLnS4NdUMzANq1WXamVFcgFAe4
WDTFNr6/XSREBRcBHtedg+upOs74Lp0VNu0pKlcxSVeUuaIhQxpSRM2mGfODD7uf+dqB8MO7d09f
IJ/VLHr5WOAGZGdsjIF6yeteAuOl+BPTE/WIqxrGV7G2R0jSG1rnGwYmQibBjYcv+qPQclIcAiWJ
tdyfCuOm56HdLAmm6twYfnLTl2187YXl8E6lJv0MeOe67UQmbjqO0RS766aySgyJuWfGB3BZVsUe
wsnFqhVTS68IKNj2YNaF3JVRktzBKRXzOtY9jq6Khzbf7NBHgrfVlLQbeqIgo6oQbeFmZobXG8vA
3V3FfJob1S9FJWZp1PMqNcqAsbpk8bau0ablaZyL4Zw3rrmvWVds4ogkMVecY/TrVCo2G4ZMzkZV
5T2NTLTZUXxsesh3uT+8WkzXe6oXNUZvs3mYR/gR94j934w5KPlO0UFD9xasevfcVnYz71odU4ka
dVP1OoYLZ9VHrX+aZ5ygeydUdbnnXy4gBaNs2wN3oukRtPJYHS3X45ie5LlFAbIZWwNkY5b2dqXq
H9iQny8ID0xfzfzYZ1avDkMWiwoz5jRufGWIa7tpzNNMn8e9g/ZSLqnKtNimEXcztzNLinB0up9H
279KAXHgCqTkerwZxQJnQCiZN/xJPKL9sNnmIgqha/BZVbQPEvG2yNXfG4wykJu7ON94QWpdV14Z
bG0/RcgzkmXV7sQEjRgxE8weOQ7pNoOo97XWMn1PzdZ4tuu8f2vgsdTbunIcvmvO2G+MdLbZTntG
e6yjCPMFenuzBWcW1df8AoLpwliWkLiq1MQuDIZTTAoAVz7kE0e6ylyltPyy6sAizlHPAz3nenVE
v0qv+oOh64Utw+GBgx2mDfwWVak6ejGY+Z/EFNkvmEG+oARSVPO58Q9I/x88f5D3i391E7Xsclor
hjUdsD7EGcFakFRAGK2rEcWnDBvnnBdWR2FqLQtxAhdRnZDlvXTv68p+1e34Go0jizqqEZGhRBLm
KCsAvRom3BQRiQo1cZ4n0TwUaZXW64rnV3Qvxj6sWbI5+TRPWIhlS4kwXJIwCq9Yqg3+GbiL2P13
nvr/KikQzBl/N0+xYiGWztNPJX8aqj5/7rehClQpEgpRL0YW212SXb8PVYH4hZyk+zky/R7p+n16
ss1fqJon84EqQcIP5tN/Mj15/k/TE9KOy2wnfCY7OwDr+5Nmm8gE/4FqsiNX1HySUUZjnNVAG5oL
7nku5amHVgNNWln0nsBw1IQLSD9ZNEM71fQ8hx0hpCpqaJ6CkcZhLxBIncxWFlV7iZNteN6pNyrU
a9pjmxQJ8TpM5NRty0bRVCra+RRIylR4lXm4mmJnzM481frvMvXZzOiEnXUd24iwHNW9B21Mcl3T
Yb2HAjXezZLXq2yiDTiwQix3C6vHK8fyhpfpcnMbSvVuB+W8880g25SdYR+nbkopw40do1RgcS5U
PYpPO2oGL7i9yTB9+dFz+/d2QyAN68XssTRsi47Mcopf2nDfYjOY8NiDIeXZVrV2Bt1vKLQa7rQl
wf7JiI5EQgFG7O+qbBLRwxCZHqadrOAgm5CA8XdULLXmxohJSx95yvAryUAE4AbrTJV7FqMeKK0F
SMgODzgh5UiACgWdKrZPVsMTEQc0vAGmhO9URl9ZPEe3vaRjga0X/uFGTpwdaXPyX2fSAsa2FAMF
XKWW+w7EHVtRDt1mX39zcRmdpZ+azTozIxtwqC3IeFkVjYhh/1rn94Ef5Hs8/OYJ1TfneLZTde+n
6z739HVdDDvNCoTaxsziglHSXLVQnpfWgPC+9yYQYsrNXoEY0G6elzFl7vikmbTd7wvH+sFvwF3y
bNObEpFjx6CSHFv6ON6Y0WDNx3G1YUFfHiFPtldOmB8sIfKHOE+z+35kK42JMJLwLvTeEIN31VTl
cQymJ4nJk6kiCJqvLnW8D8ViUB1tOzlmkVdszaEtrqWZNySKHPiRoPufqx5AjjZETHyqCr55EQra
qg7r9A6Sk36PegGkf+TxBvbIX0q62Gde4QTkpybQKvdAhKY97rv5xbbyp9RQ1pvnUcu7tpzsWwKz
GFWPLxUrBGcX5ktWHNgSro2xONb28D2kKup9HjOxDVRFlqCPo/a9npstg2t9EPHgrDI1sG+K3VuI
TfnO7me4IpCriRtHToaVRXinsJLiDfalfxayHDCADe0xwI1yLJ0pWHdO1Tw1XQV6ZHCrQ2YX9vUQ
T+OZtqn5UETKvVcqxqzUq/QVpkL6xiea78exs687KDMHSGLqnM0OgImo9UJ895G8Smp7viNu0N8U
rfY3JJsJO4bKlw9T2hbwurEw7QyoRCd/qu17oGsenYB8JQ75WIeY7fwkuSq9yL4FQ9Hc9LWdfBmX
CQBzwmCeVNYnpxa32VPHCvwRuoe6srMIp8iYBG8wMtKXuvfa69alKmNLHDC9Mmc5WztRxMWdSxDu
qOZx2LezGW3MNPAx9fTuD7ev9Z507fRlTK1sEwVLazwCcuuGJwLk5SZkX74aAoxpGHYRjtT15FL5
R7BtRZdK9wGYFqp8VuYHk+f2qnRVtRGi6fegLeXOik2CpqOnv6oQTQylN9nldF2vvdIZ7tPK1ec4
86cDYGM6MvCqvXZVMn9zQ9Hf84aEt5QedF9mOQm2K0Ox4XvSbmDxpYeBteNeOamncVVU2bNKWKHx
sfNtMQa9C2SmPmzDa/c081EOOOIB24J/X9rw6vZOir601n3ByjxFQ8Mf61o/ZotNN8VMIUczk5gK
CfMneK/9KQ6LOwUO62xVVvRq+Xz/ZzfQu9GeDFrypsQ8wW01T0GbBUzHhXU/jT1wf9FMuEqhVezB
ZN3mGvoxAxrXStdFwE2cAHd1ONAplWQiulJVWm4i36O1o7PLU6dbitNtbjVlXl4bnpteWdoRj94E
CQpnnRFS2OVN3+J0IMo04JhMVl2TpoeGsNbXzJOIVGlG5jILtsCjLeofOBsz2+d7zcnySQAIfIiY
k85WO5Ep6vQMg3HK9HNTdsF5hH916htlvCuCgDzRxPCQJ9TMr/j2yJtyGKaPyahSOtcj7R5KMrlX
RlT0e+A+/blva/vKyq2SyjqtXwbXbe5Gdwo3kwPrzeasfM+TDXocOTd4H6X8ATMYc5PXUkQRBNHH
APt26yRzQH2F2g10o0BMagARCUJ7RrUQcAOjMY6+yNJhhe25f1eFL3IyXoOdY7A30qs8dvQLQeN2
W0kFEdUtEoA3XppR7iL0DqC3/oIfxvO2ThUVX+0o8vclO/dTJ0L/uvdLAzfzXB/jwKfCLbMwulk8
30hVt/m5hX1wmxLyPcE3bredz5GQkGF7Clsc3Cl67XnICVHhZem+sNXxVpbCcElsyxh9Aq5Dd4+L
2b+ZwZ98xxu47GI7cr+rgPeYNsjWeIpj13vTScWtJzMqOscaIy2Xm7YC2zCH4bY1iTMTA7fPiRmW
3JZ6jFQ+lZSsDVxCbeQHl2tigFCDQVivCxFTNlZJ/z0ziT+Zif0O7g37GsG5Rz+CJo1sZN8MbeBw
G5ysu0ljuYrC8rR8gFc6t8Uew9G6n8pkE6TaOnXkOI8RJRVsCsrqroos+1n6bQ9s2ch3Wlfu3vDS
EiukZ299thAb/OnNxqhsdZxms7mXbuR8o52PtnE0fwi2Qx88wlNUuxLX6M6MiTq7ISygdWEo546y
EGI9Vj8G93lUSiybPGRx29/49DjzsReOecKAeWodKFVBayESwPdhE5ZAlTKmITiErZYHaaSKxvVm
Ipk5NYTsc3UHW5gOpRji5mjTuTa7ibEeBuop96Go5RdmAetpZOeE0u7a8odfGN3b/7B3Xst1K9e6
fpVd5x4u5LCrzs3MgUGToiiKNyiKlJBz6sbTn6+h5W2RWkeq7WvbZdeSlihMYDa6x/jHH4rKd3Zh
Vj86Te5tIeFdLOZpiOQrWOgQ4vzuYLLlRau0T+PTVLca3tlml6yBBJEIEhQ9vySM5RsYZ+F0Mgex
wVBrOkuAb5am3e2KNHM+hNSmOyPhsB7wxk53k09qxcZqZuoPcC5sUiOa/K5pH0owgttxGsFFiKe0
95x35W60CaOEMip3WmJ4B8JR/VsGaoJTwUu+UKC53VpLsR9uZHgYYKPDvcogGXpGi9k3bDJjreSz
H6aqJkeuRcXtrKCXU76OmL4zLJru3LaF/QY35Ojqsrzts2biPbHclsUReK8UvvHWtjNzn+lsKz5g
D6MBKtVyxQRo+jji1v5Jz6r8k21SA9qIPNGdhU1zW2d9cJ4zl2olcsIjINBQrICELH2VVZxgK3QV
xwSN6Qx9z0pPaR/gYpWMRjJQYgbVoWhAa75ZRep1TCayXjJ4WiEtvApHB3/3ntASJ4+bi4vFEKb0
rbwJmC1tEAgozK8Rp7ic5m1E4f84u/45hRUXueBEg5nclFCfuUv7VGSe8ZR4tonBQk6ISAg9cuUV
7qMxk1AoNSzfR8ITN82goduz5mdmJ18TT7v4NcOXIB7dDZwLeIcNHu5Vz5hFtzSbCSvDLVqEc5Ib
BV520Se+FgstvW+vEUoORJ1Q3KD/vx3txLruHPuL0YG3ibEfMGHMcmiVfruui5wHQwYSFgcSJbVl
IQ5BhHCK4sbalYO/i3EuO+HceRtL23yw2jLPML8D8ILX2u5AxU3CdMW8DjMQpLnC2K6yi73nozVC
EWx9kZop4DnOoHGBvw9Cx7sFl8URzC2z65Ll96x13pak+PC+IFzoUGuhPDnMDK9jRqmbMZrs9ey3
HHNYJBwBVf2d7Pp5XcMcArgYyKiBPnlTajkne5bKW0fn5lI/3yZzX9An1G2/dmsGvj91rX9DEvuF
jkVT6liWEph55EVb7zgz2GBAyRn85IgemrZOE154amcC0YGJMvejrZfNS00tVXJk69nm9xf/RV3G
xV3dhIgF5cM1gncXn5OydeVcJ0dDVO3LnLYluax5DJwbZHe/v5Tiuv3EKlDcBmRx/E91v0wn310K
d57UFXHBpWrmw1veEZljPRZV335/nV/5WlyIeQfWJTj0GFCR3s0pKiwkQBaj44BoaRf7eF+5TNe2
eZn0H5DxQ/oZg1hP+NKLZ4QrdNRgn/GtRqA0zXUY8+l+/5F+/YqZ6VhwrchKoad9zyAbdHj3PV3G
kfn0fK0XrdxbqZIh2Tl2JRu4zu2LGEa+Z6MNT8u1/zOP+9M8DgMe+Fj/f4Xo9TP75HMJzenbgkcd
X//v/zF//NC/tKE64zMdTyBEoNYSZPnXRM7D3jzQHSSenF9YovNe/RNCCv7BVsWoLrAxTVfZNP+C
lLx/kPVgGZjYePYyrvtfQUrv3ydFCmL2TNo8GBVQ1ttlTn5q2jLHmA9eZDhM10e7vIoA+j8V4JTM
ahznD3S2X15g2I/kXAJdMWj0f7GT62Gc9xpE54MQaXuBdDKuXfePnFm4Tm+3CW4pwI8caA7XOnam
t7fVOx0aAycWB5gleF2borlwCKNq92y8XLWJ7qZrpw1UJO2um/BN/2kN/M1u7BBD9P4DQF0khYwd
GeRPX7yYfqLH4hnDISW9/lDl8Cx2YornHXpV/TDayGSFGbcneBUMOmUIuLyqQyvESbJONHiVQEwf
KdcoPJiVyOuO0hEPNLxecbqesh12tfxZ9E70ZFauFJKiTgE1HIb8jPR8Kb83vczuLBIl6WhJFo1t
Z4Tq5DanAheixzBp5B4WKltHHRmyWFWNBSyIseJ80OHR3zNWrm9aIuvvTTGKDz1c39PkdvUz7mwc
+101yu8xXJXdWObjQz6Uct+loHihAcOwDRMcUCeFOcahXj3Fiay/GJHOD04AAFddwy7Khgs9YvQw
+aFz06sjj0pZ6BnsxUorZlt7vBm4Td3rzK0HvoUbg/RJRifEndBohWdihk1oKb1O7SXthUGPhbLR
m/p12nv0LUhfr2dAjEOoI1uyCKM5ZYPZXLqiD0/z4AkOYyLcmh5WmGH14wOy2PGhSWf3I9+OuSXN
woRbRGEzuKJ5kdXE+0A3vk6mUn6KeySjA6o3zMLrUj+4U8A7NLHxWj0CTdfQkkPTxPL7NBBjp7f8
iNTb7rNbIeuHK20fmwh69pDP3ee0n8orUSEyLAqfJ0K/QhiVXUxYpLjDTP2Y40Dc1dCqp3JEANGY
2V1N1vNqMCIFC3Do2iG/jDKSodZRasKLpnfrkJMMzYvoeJ19rZeoKof8WPl8uVA3JkYrKbJUvMRb
ejVcYY41s8pVP1NtevR+AHRhdoeLMnFrftzcYBSIOX8Qjd8yXeorJl3EVeYqx2U0qie0RuNDiEn1
ddCM/FUK5a0L4kcMwR0Hk1bfhJl62SHQ3GqRPq7tgHtx7ZQBSoBrFH6dLMUFTDayRCo7Hvs2svkm
wjHwVzacm02hWXaxybHc/I7euX72chRcZHmm6aYHSy43VRyGdy4ixxcn0OfrErDsEzPzZI9dN51F
S8KmlpX9q45Vxn1iUx3HUT7vDI1n20V8jynyU4bqy0Evxm+SvmI3ZxhgkivAN2GjK90jpJLf22xE
Sh1RZuVku0z4NZ5ikv9uI/+7PgT6uEq0wqVODgvzGHfOk27K5tEMw+EhMlmbKxOwGK/2CoDRzp9s
XEy+9TamxthNsiiFOa5FzBflelq/Cxu7vq0Ly74N+sm5HWQIZznpkO/iyvGk9TarVUHrmM1UT1bh
yHNqaeiOfBJ5MJXyA4Kyp+o58iFArBOgIEQm4OvLzfkxL0FHw34nmPL2G5Gk8/Xky+5z3WnZnUTe
66/GiOdj9KStijwt1u6kJweUph74KpZle0ck7UvNRJivCYqih3DXbx6NhBop1SWyaNe0mpueabRv
fqYoBA//MpKT1b8k7WB/SQyltT+M1lzah4SA9lJJLidY2NAtnRPD+8G+szIpVw2pAJ8o+fp15Q6Y
lxj47W9AcN0d69AByTZN2plK9GxNQ3kzVPSGPSsMDmf2odc77VLp+Z3mDDc2wzk0r55zmVtVJHvC
ummd6GPohPiFNtaG7i86ROYcH9FAfaJhMbbkpQ/bwaYf8smjtcfhFV/24qiV0Ysc7PgYzy6sAmOo
r6pinLa5MxIAFUb9q5F0DQK27iz6JtzlE4oxMWfBxpCtt84BFrCKjkgqm215rQX1SILTHJ7cFGVY
hvIpyZtyxm4gbI62qZNvqBH62BBmuiqSbKxWRZ5/Z6Db+6TJgzQMHTmOgV3eydJLtkQFBec0jmo8
itJp58a8sA28jHMiQ7EdEJQcZ8kXaRqjfmTYPh6I4pLrurf8bTVp5rpWnEGif9N9TE+7NrVCP09O
EhyGyPgIVzDYwRvqrowysPKtybN/6eppwpytCTR4jTPfIUbX/Xgwa2iWrjE9lfARrobOzNelqQ/H
aIJZQV0AN9ghWXQjw+7FqqZhH4G45CsOcH83xhxzsSl6/I/d5g6KkQEKk3UwXoYYx3R8C0isFk++
MwJVW5k4lyKi5c6z7EuAy6a3doUr90EyJtPac4H1A8eP14yhLCpEq7lQndHNK7zkWLO/QqZgE4H+
mkGPI3Y0rK5x6MI5HWOibWXqZDCLuiNaOeat6rYRs4dVCRlvBQfCOdVuK7B+sFJmX0TC+V0JCLyx
Rq06GWRePhMt5xxNWcz3NWq7aG10wUGA0x6LIZQfksyaNyOTulNW1PYa7VfBcsc0KZ+ibIvbgX3x
OpucVcwUaJ7bCbu/2t812lggMMzn1URoyAb5TProuRGOCrqcdnaIeHQIRm3XxIQ4DBGxeWS8rrtE
n45JYgkLevC4ibSIqASiO/dY9Rlb16rioz+KcBtMISP2oLJxhJ60u6LHst9oZnmSvvLxR82Bp3+j
7P3Jur5BEOddBYv3v73kAOQQwjaFHWfKbd441nFBYkASu+05VzECQ6oSBbwlXcBUQQPEIODKhyu5
/q0uiiLf2F7pCqYB+nicmyYAKdDaPYa0Dg67Q5JsZpV8YPdR90KutKtGX8C3EJ9LI3K+BKOuH6Y4
65IVg4IOtzGBvlyZcX+tUvLB+3xSdUHdXITo4UE0mFhvfZK6zhqW7LggEUXqsfyKmMnP2F4FTYdn
OyRlWKlT5SQHUUKwWGOt6dxKM0wOGCvVX038/2Cr1Mj5+G50xqmUSGlqcQ7lxnxgXlZeBSawgV9i
CcEIYUJKOJkEeeioBqNVzS78vcxzf1NLLbyrM0+9AxllghfqNc74zkBBFCekb8W1czsniXanVXXN
7SZWvBug0/ubiPRy0FSpiByuwOi6HuZ6G6swBoOYvJUcqAp/FF9NwhQhNfArJuEi9Temg+PcyiiY
fWFsJYnoTWr3o8gayjJVMJZbc2RiDBCZHwElyqu8necDhJoJkRyKTxzYGUEX9OnhJnY6DvegqLS7
Eu3qQ4Lx/y0EfIa8jlvfRPPyKYLmkUEIZSl4mtqU50J+xxIetzpsWfIjduHGB7bB8tUiEgWOSeSO
nNojWyWO/eQqY3KykWqqh2YG5/iEAS4jcA3QY+mW8XqWZ31Muf9hnDZRxFleUWx9qTt8Izqpyt/A
rb54vciPZsctWJGNhK4Q8rsvcaUQc1htyzQJVkYydQQXKCcwuNBWfszMoLn8vokw/q6HWLQ/5FL5
FjvQ2yYGCWRWRYpOhX9IcwoDNkPKYa9cN4S0XHJV0czgg5uRL+YJ2bWSZ5U87KF3/tTQGL+AD/qP
T4J4hIhPkkzffpahIleqTpv+YCdU/kwtBufWc6HMRKR/nKRNQRijzkaKiI2pF1VwlDrHOsx99QQq
z8IsrebUWdiZllPdPA6Dbd+OiSk+TVTcuz88uF8EZHxYfJVMy/VRkWHv/PbD+tAmvVGzuoNGDAb2
dqX7UTLVU4REAJqBVcdRxAIzsNm7z/rO3+icU6esFNVzWlM3eyRWXv/+Qy0t5xvkirbNw6JAfSjv
b3zUh4Y1AtfuUBRWg4NpYIWbzh+aq3nSmEESP7hha5630iI0iIQiKqgU09k91jO8pvaY3aWT3Zys
3CWjNnSqVyA27+Izsd4GfTMfQq2tmlXTO9rm95/c+ZuF6EEkBrygqbZcT3+HhTnwMFDcTu1BNJxp
0kvqdIvoTCKaF+xOSTltgphJw2hKciCUrlczzGc/rT9PeHtuE/hZWw0n3M1QF9X12Jr2F7j55TW+
etlZx3f3iZF7LK7rCJO4cxvH/jEkdmCjM1bbJYzw9wVbySEKEudWN1Det6KgXs3RvVFAzruS8SYm
M1TzbTNMm0rtMKY9aHdj1LofNceT3ws/0h3cE2xbW1kdeyyqVupelIX4u7KBYUFFzU6zTF8SZfyh
GRJaCS+5YCdeanVAt+aCi7/aUwJVtkO9ewwKbNlsPQFhtbJ6SxQ843YAzCtcN6hBDSCHaIzHh2jW
IBvjqZM/4aKcuac+n70Rw8Qp4iElzF00AbFi60RZjMS+JnNMOyj9CEk4jtnjd7zhhkrzoQpt4kEa
UuOOnjvn0TGjpNmEs/qNkII+3OjIkNw1aaOGP64IuDTP8DO7Vy+3BLKEiZoehijzW8wlueOoDAig
YRMm8kZQynvCIClVUuTTTusHum+2WN/uPpOS6q5JCIEA6mhQhoqgnq9FS+Pmx3b9VaZDtmsTjHPg
IvA+EbB5COeehiIu3eGhT/Inr6V/nIWBzdBERvmmlclIU8mzC7LJT07zzMPn0NF+WHQpgPeSoanZ
YxrApuc7fc6w36+ecVmsnm1pUBsyuDVXvLbZzmI+8oFOFA+yRmc8PNH0u3mJu3JBLyOEYZEZx27U
q96ujFGMQ+nEzNeec4gLMp8G/BAjqB0dgta09CyYGol3Kax2eNANeNlmaVbPTkf8MKkF8lwbdM+b
tpw5AfrK6D6bKYBSAx37pvcSjzfYZjfpw9LfWH5PZxTaNlYjRNnzjnT6UOKuYvAve31uXhaXG2Iu
UTDTHa6cxEbTEnMmNjVKMkghHDkiUEdoXLBdOpL5AdzE5nGSHiZpEzBLV8fBVWTU7SmRXnnlQgXf
txyge2iPWFz45fjgIwtY9ZNM9oy6KYYxgrgpMI89eAltso+36XcCnqJ5m/hz/QVS9IdRePXXfuhp
t3UnujVK3EIK9OhrdPLOutRU4aw+tYAgQEQtYfGwHHP1HRAXhQ0Kr6pQ+7ueZdOmBix5wgNp2ImW
OJNVqk/mlkk/yIhqXhOh08DHwm4uUP/5ZpjYs2zVWVyXyswKrEeeM2QKuM+0E7iO5fKoFChRQQw/
z5Err8UIurYsQxOBVMLybvSDGDR5bUcgHlYnm8uC+JQWy6cg6XntQuOCakEXnMNlOuSYoa1zn2S9
ISSMcIEHtEjjMdgNnS2AI49eAXlz4stdVgMIQXr63vqzvJ553cq1kBHFCDl0ysMC9ApPleyuqW1R
rCiAA/oUSrKhYqrZoIQ6xBjjEH834aAsZu5Id5mcraOZV7AKcDcgiCEG/st0Z10PWrUNMIfblwB3
cNQxi1pHonBuTZJkPlLw6C3A19h97lPkiuxhWfOIAAGgzOmn5iXCKwySfC8/IcADtzHb/KgpcMVy
bLY1OvrwtCA1UIlxqKbUaNdIK/mbChOwp5nZ4iyDyy/4zXJICuV3UFaxfSSW7xt2Wqpc9pRLdl5Q
LDWdnu1+LM0E6LK2gYYwDgqVOJIhUQWRpyEw9Mrvu+axMsDQ8KYCUxtUrTwVVsy8kE5rHemEy7VQ
HV+x4aqeRESxg2cEtlw4dewwyuIRxk7TvujID9ZTlg3GlggFoBzIvgfSbYIrtZ4bJGsKk6m6M2lU
IJJB4lHzZi0/ziEqzwnzl/tYod7UJeoUoEF7MnyWhD1jojY0YfVMtFV06w01sFGr1g/yDWwVwSFz
l9sJFfq1lLd+AEIaZWV2V0wjKBIE7o3rGeb9cjYYUAlOKkgUWgSrKVUg6qg59q0XaQ5HxYQxYhNQ
hkDhNO8nAuTXQWGDn1VUwuRUjpgHpLB+XAvt6MAXiWNCfpTIZq5mayivUH3kR0wOq21Mefil6yZS
0du5ojjHjWpr2tH4ICfK5Brx5pVe5XjjFMjkQ/axx0qZMcZuHp7AL9z1AgmOvXIdM+vwhDhm2qSC
8rNjN6lJKWfoT4QJK6QSFCc9zc6SMUloMSgoQ/xyLfWxesJBDIB6AjPGnp5WoadwtlzlQQm4rDg0
LJ5lmxUeTwPkSJ6hlEef6eqZBkNpUf1EJ0ChWjz4WkCbT7VH1a7NE5DF2I08TDhOe6bU3Qp5EaeW
O9b0eBZrTdPDOzGBlyEcZX6IIXEDzyEHRFRbpaVsitrMym4h9RNHQE44qBczcAuuI20XkAnvZAs6
XfaevPZgGd1bjTd8IzFN7Hs++gpTXl7cBAHkps6r+mtXtJQcDT66xxQrzVVCgPGt6ZVP4+jw1GYP
dqvpY1YA9Mkz6HPmsuU4NY9UJam9GgTq6RXMtoC6ZXBIYtB0NtmpoZyoqpAKEm/kzYgI4EqiPib+
G0h9+eXyYkolZFppxgBlFMu5O8SZeHrOvfiAFZDcFXFKqCo8ia2VUFVGnsowJU8purVrb0a2hNXA
de3OdGSTJ3eiy74P9ly527ijgV2AYq+rn2yTznRSVYAUDS1ZjT51D5DAHSN1yNPpMPj2l7mN4s2s
JjE9gMp2cDwullWDf+pDMgiXcvU/o8o/jCpR09m/lQ5+foaSgMP1W/ngXz/2k3yQqCfHdR1KfaKX
GX7+JB/0FkXhz4NKO8BAwLQZcfFDCxH+fwaVtkMaCt1iADmehgf6/P9mUMkstP5X+2SrRs432MN0
F52OiSPO254OnZ2ipAzupRgx+1yTEjZccLQl9UFMTff0+5bnbbe7XAyaPWJInfkrt/uu844cYXPG
9/Yl1hheLT6ssh+DhyzpWyKBTIKbIt2zn4MxbQ//xqWBt3UfTwaXh/r2PhMtMyhTDfsyK3/OEgd8
HHUkI8qtNzCzwBkS7T1CN7aaLpwpcX5/efXXv33M9KgmYzZY4nxx7y9vWgkdQZpbl7xgQMHWPv4w
R8T0ManU5YQKrf39Nc23QId63FyUpQK3wcA9zHr3uMu6DIeoDsyLw+5/X2I7dDQL9p4dhIjgoabo
v4I1xMUHtrNuH1ORvrokPO9zjcnCunFVQADZw+LQ4Ywfbukk7GccAghuCp1RN87jYjybzMrxBdca
wDCRlziQ/v4+3hq1/LiNJT4cKg4miRhovPGt8bEbGoQXmxdj0FgrAwbIIh/wm/E7hqp5Qo6TyEgs
+f1V3466/7pqwOvBUJ0Lvwc7iHXAZsFpjUtqjIyFFjcmr4y/6ylDb8R34s6x8Zl1PMoRFBs4qv7+
+r++mJARgKc8pMGsm/fvyhgEJWJcYcBLw0AoUS+MDHCVjUbsOn9/qXdAxHKvMH94szDMhvzjv9sE
wGH7UsfR6mIngbjT6hgY94endGhhQQ3DEO8E3VVvp850/IfxJpZ/ArVxrP3h6/67G7eQBaEI8pgL
vF+1pq1VQaOH+mXoG14SG9vZ6srsCzX7U55Av7/3v3tJPLY93kv+i4D6HVPDqFMdB6nRRLeA7Wgp
wYqAKgSe+spAt2hT4odHDHkxk2aVL4aexRgI5S+PjxsudnMFNxuLXkjQeHVluulf9Rnmo0aPyUgc
j9Qg5WLE7PglrpOQm8iL+P1NvLPtWr5Az+T7Q4gJ7YUV+/YVSfMIYEsGxiUMU5xXZg+v2GXdiL6o
v7RtodF7Tex7kgdY+NiXRpRWcCJk0BxqqSy5k8xuYLVPM5ZNRqh3r36ri7vff86/2QU9uCN40jLU
th393cfUEGSMLkjLxaFKg2ClHjOtNTwGZa3b5O2fVrb5fjHh2MOq5szVUZ5h0f7uikUfmameye4y
1diWEvLuPCPLVv9noSsdlOd0S7/rElASYqoLis34E2Z78DEB6IcnWsr+1apgayxWvLrGS0Azw8ap
1sTyiFCScngZCThBN3pEmBgWcQcaZSHmMEqoOFQ/cgVexH9H36BI4w5Vlf9VDsWHKil7jOS5g3fH
CYc1lCcIPwACaDP8d4t2ZtiLA4eMLghxGUrWcsa3F07zbWPlsj+UYGMTet0x7Rk3oCleJyMuXBjb
EKJO7QsiSWFZB2sT7cNWL3pvx1QHRDx2u4FS3IiktdKY2c6IU2eCXPV40j7VGiE0DHBBI1bTolm2
A48wWiTjvBmpEjRzBChtc8oozMbe5QL1Pj77XZFemYVf3Ywp0U8bv2r1geFfrj0aQBS3BlaaL8xm
jA2mOrCITez/aj7fGL9Kh4SxUy/jcpP0nN8nrGULizFJWn9oFkG2WMTZKBL0DeWv30BV8bT6YSgp
kmGneN5H6MAIWJoUKwRCgUcYw4UToX0G4SaKGKzd/4pvPG7TZdH12WEm3AUbIpD09mgS90TqKBmL
V2Y0UFzXDEUAEgLSnkZjgMQNEnrBfAjNeer0pbOGso4VZ8FcuAauL/J2LQI7Djd+indaFA8cuxlr
BOkfr9xipt0UMQbZlAb4aBs9o6jFg76j3UnWpY99MCUgltpjzSmAKyk/BkqlbM+Vu7bfhbkN4IXy
/ApwPhs4mY0YgvN6/qGXB2xEPM+8sblC1o6kPvqhr68T4R/tKIlvxizoX/wyc0ltR6yz15O03QRW
EZGxY7e7NkjgMVUkbgJCPKJ8S06Y6KCipg74isi/wiu26fYeE7edOVvVUxF0zmMFT4LsnTp+ZaGI
b9EQpoTPxFG50Qe+nnUc9iURszXDS8Mb1yysAn99LBgF0gipaXLlV/2rjfpvjS1mVN9rjp9k57H0
yYQ/lWUeFPfeCLYcQOfIZeVtCq/wiWnDkMhDZaAGp3iDAimbOCDXa7AEBG2YT2mSrDw/M4L6UaOd
tfi4WVq2G9nIwt9puip+ZrwKK1JuIR2QsnfWwXpxgk81+7lB5owdQj6RslPA3fgktI5vTIZ4tRdS
otQcSRtAv1LNuGRLViUeBAaHqY3nDJ2l4TFFbDu+WZcpYb4iJFpbAy75mynA+XZFrISDW9nIlp3Y
0WXw/Llfz9K1n0Ny31dRolOv9splHjK38yzCOXhYnAQ7cmvh0YKuaTb7kId35rZoY0J0Gt5Qf81s
hL+ekCE+HB1Hdaasw3GLrKwN7KDqDJpi3je6alYx/yMdth/Zn9nOiGTOASGRXBo9vxMRDdWtRpRt
N+bi3g0/BpDYd3g4LVbVQMe5xZ8gSjW9GbDtCbBq4FNFyksv8Cpx95dyX2NHXfZIajiIWw6HqMf0
DTNQv3ttAvUogxbMqOsG/nH5tAWaqRTivi0+qBG9iQojkR+axQQ8y127vV38sKOIaFo8PIybJeFT
KifT0ZiDrWmm8m6xH7fyFLRIaXNxSAK+lKp6xMDKeTYKyV3ySnKlLB67V0bP4i5V/zS2Es//CKO/
o56NzrOvTMADVR7VOadtE0TNlzQjAHEtkk7eLYXCnDXQ6kWau8+momstfv5tw4cRpp++2lauxvWe
ZR2rRtNv9JhXGpsj/QaueVZdsYz47ggOp3ivGg6eTgVehHwiBvYU4RXxgVvHyMgIGHJOcxAtrd2G
Jk5Xbqfc0seKgIhj06l8i5GfIQqhmrAibLQWVuBS4AyqVMnmtH/90fxY6kyW2FzDB3Okna+h+DT4
hdQuXgCTI/2ruHDs59jDn2DPscMHrE2B97ivlVNKxpMRfiV+kouXyytkhA4JCqNoVRnEyYM5xXTx
7al7zQMyO+ggfIo7fhlEBgcw8BF7G35aFllU8MsMCSDENmAdXb7pGyIjvSO3U51hfbh3CSpmcv1Q
wRYgNshDIUUYN71ang7hTzd6hN/WCn0Mf3M6Uq7afiqH63qKtPhQkD1BlebibLAaYkIrtz7/IYtQ
uXT2dsYzW2w7xZh4YJl+k2OJTILDj6iFJVc3LiaeKfmO3P+yCWRMg+5kgjnJGpkTfEVJdnHDfP5c
u+ryxdRDv1Bvfd4zsIEkUZ2DiG+Vcr85NKHFt5qYDE5zDnKeAxOIM25XxDGgTv0AAu4+t37P+6rn
BPqayYzSLHJ449sWZu5qWYmoc4zuvAQzOAY1+tZoczYf+CNR9yEQIWYZfqW+IOiQbE1mRXQBZtsB
GYOzgDRIO9ptZ3R4CNZ8lQ1qTlHxUerkNWMdBnCuQVddM9/naBK+cT/hFIhJlqmiPdnnA0RySYCw
L6qp3hsE1h+WO+QkokaGLIUxK6q0/dLwMqNFFq9SXsaIFhV/sgytKS3t/dDwm5UHExiRG1XajC0Q
fBi1OpdjU85ISQEEAfssX03cZqfGL9T0NfIEzWLTDgOdjHpqbY1YbJNORj5vWvVxFoA3U0kK9QCU
ui5jsrdzptR3+iyZHnvWjMSmY96ycrqI7SjJeLkYQbM7xl3rWKuYJT+wwAkEiZMQYduEWcxBJg5x
Ik4w5M6daCcF8k82vqUaeOUzDDt2Fv508LC4i+b5YB8zVFVMHgIGd6cCjzkkPkNsNh8N3ZxYIipN
Z42/IfEM6bL3CTPV9pj4s8lTikSqJUeJiA9MwZpYHsCPvUg17mNqsi+ojRVtMifOsnbDSHCsib5m
5uwl8isRl+FlWZ+2OYT7FCBgTwqanV17g88S8XVCHWwnG09xBBHirwVRTIX/vfbGbFwTBN4eECXi
+ypr5zlywVKWVeGKTAUSENNHDg74t9GU5Jk4Cm3IOg3NnluWBuIvp2QnknOmYSlnAkK0DiqiVaJu
6Ec4dNJCFW7JdYDTTSHUboDZjRvD5hZYcsa9E7uA70Ye8WZ52JXfmfDXrR3sEfFhSKvgAbDcuIVC
gBVNPLOodYboA3A5m/ayA9pZTyg0QY887D5UOS5Bn/KULG/itVEHEML2CAn2uh57NoUqascQ6pGP
k3Y5qE+bDj2vmdVAMdhhdEjGCBoXd1XTqj0EQlL4ORH3PcgRg6yJXAwNeWgrSAOiFsKhhkGIOPTD
WMa3RpfC2saz2Lhp9ZFP4fiA4Jz8Fatdx6Chve+dgSIEUwTMeCfYM2Ut1P16wfTBHkzv4+CL4ta0
nJdYC7U1ARjdwcGsa+W1vDvQe9PvEZP6lQd/aGW5tNTrsbJ4gQXHY4ryinSTZMK5DsgzoEKR7gN6
K54z7IQZT5hphsE8pNZOL324b1FDfl08It7HCyS9tuwO8z5OzeJIZy8OpUHczjqvYSWEcF2+ByJX
JAGV5gSTjhXWdiZ2W4IpvX5q1OZ/SsMIIDKI0d/jP1PRweQl87QKTkkJ4IUbRh5O2kfo2Hw9LTwo
kKrA4CFZDt7BIIATAjdIFVarNv9G2SsXqqRrYtJfsohR+pJQRM4r74xqlDOGAefJCnhVA+RFuFW1
fDyodoBNJmLMjR1OfFKxHCZhzL4Nil9l3ypqTE6XoMZlUJ3hhkaMT+iHrKClMYzICqpPeZ4qL+qe
Pa1ykY+dwdPaw5J9k6jAGWWAdbPEaBlEPryaM3R81yLalx6M71WZpood8dKs1iJit5pdSPuLF/iy
b2JqwOaIn7e1lU3JO5GrerMOGXPhVY9XOCZQ7NHCZvKsksGqnn2vbXiFehUIlIQasZeVs3MjtTPP
c8UJRG8XH2AMJN/s0dW7M5E3vHG9xkjeyRgOaj8qjAaMRONkLrLSt48MjHTvSMMm+gOuGwNGakO7
r/puQO9vmj69Cq7OejYb975vANk5KoIJnIdH4mGLlK/CkJyYfYF84MYdpXsfg1hv5kZ5ZDukELSz
mmD+KJkd4qDdyBQoxQlKYxpYeP7Wlb2548rxfdwO4pOI3fkqxmrgUz1EzNR4Q9id6XYgdOfm4OEo
WegmOrNa+9Au1lSU09hUWQzBDmbkaC/wRZxX4gzmbzlV5fcqFx3l9pQjIHGlCXLR6VdwkKs9ZMLp
0ebjEru0mGLB4kvJwa1Ec3LQStzg7glnMHWTz0XdRx9danyxHgoSFDJltUWwM6pTqw4/xZqXvVSN
5G9yFleuZHHomhe3LpLAJmPt9ToGLG0wul8WdOY/E54/THiMAEDqJyDrF3PIa8zGv/2sRPvrJ/4a
7rjuP6BvOTbyHXoZywlAY/6pRDP+gQYMuSPkL+SFPztEe0QbInP2vQBE8I0STZlHY2oPxUIHlLWR
R//7Ax6G/LAKLWRokFCswDXcd1CRRPqIOaw2H6pwS3aXI6/99Panp/E3eNRbkE1dAuqT4zBHYrSD
+8u7S4QTsXSRCclgDK1VNvsQncqV7/JI/0cA+G9cRX2Kn6RfLbidoNSFVlM+ddpTJb71fxLR/elG
3g2JvKSyy2rkEsN88fSLTDbN/PX3d8HA4i0KyuPycZpS0Q4KscUi+t3j6jDZTkHx24Ojle1LxQBg
2kIXR4+lxE5OmOXEzBUATTn6MAtOE2NiS2yJijT2oGLTPqnb9sGMZ4uTdsZsoO29i+kUo7PhIJ6u
gtZNdmgB9I3VC3yW8en7mOimMmQqhvQeawHs/qEin6G0eCRS1U/EBaGlhnBP+uR4QLq4xtwE0EzD
SmeTaV58zQkuV1lDJrWbtJTg7ZAeYz33zro/u1+0wmMoHjsyvtYbzT3nEajkrNNHYBM1nrEEH8Qq
UxzwGe+aq//H3pksx41k2/Zf3hxpgKM3e+8OAtGzDbaSJjBSotD3jvbr34Iyq64YjGKY7vgOKq1U
pSQIwOHNOXuv3brZ9BhJ/hiWoaBOWX23RGbv/SjjEKYQYtTYU7YxRHMJMUA+DvloHHq/1dh42Omq
YGXfGRmc57TVjHXD0QyeZaldOWqCPlY3hsWAwe5Ot3GGG4kjL+2JlGxCzAU4obHRrnxf53uI3cAL
iK0++HHXf3dlNh5ACREfYfmDjYch5nrR9Nbnlv8lLNs6Xmac6h+tHmvpsp+0t7qexUhmY8ifCmWJ
0OOkL59cETnherBoc0Kt4wfNDxify1UxIjlcZFTkPc6F1jIrfXmZWr4OSs8IspWPy4S6Z6NBNjGl
7bVprFzHgfEmG8VY9KNsf8TT8GhM4s3NXRO8kUl6bqtEXySslJ2KQG/mdVfahnPHGxLh2l2EPRLW
uFKHRYy9a8AJMsmnVuXnETQJsXIg9TpzzeaJBhOemaGyLzKnDa/KrPdXOu0vbC99eOhTAeUDDdDS
rct63aNq3RTkG2EtsazAc8k5XzkDZ0RvwuWwp3AgtpNmcQExWV5VxXLDmSFBnB9390kxtfcEqvCX
a7dhYDiRCcxjLBYqR549PTFjQROoJfHENW4cl8dJxRcJZlaXYimYO69l78bxLhZWtiZ7CTz4UEWa
77W1r91x2g8OI7Wy+zinS4jeH3kr2yKMNkGgbjSj9l99Ok9I/1BZXIveLXwPKSSEVEPLW8gpvnED
bEwsxwA60DAFxn4s64qqia3daWjDdpZbWre+oisbNFg6LKEsuOTU+kT69HQA/tr0lC07dduGlSV2
VQ3XhuMoYPUkCv1XObQ0ksqejbOutBzosHX9JKrL+akEvvQapekvath3r6GrkpzUwvyZxW3qSmnY
kROXMz8PX02sJV3IHySG8SSbbkgBs5YqQi8N/CEJuJdsWowHdUimlT86HM6pyWobB/HZxuyN/osj
/O4bufThATorBtpIpNbSaIeIilTU6YvM0JzvWtLIfZW12XWrD/1LrcMlytvAvRm0SX9IXQyxi6Zx
4E1VmnnxK59SJwGGY1Dt3LJpzV9gm/aHepzLF3EorweQRZfagNanqVzzIin1nLOh2XnlKK37ctSR
bk7jtK3gGXWeib0vWVQc2JDsCF8eajaZCPAIvLIXcHvMJbLoAhJpr/40Iksi5EyL8L6qu/iHiepv
q3VMQokCH5WhYS4HyzXXJYW8jSyoaiybEhYNq4qxalWjArpjTfEiLCogpCIjKCDoUn6m6YcAfVzb
95AZTXt+2+BBkB20H9EqX5ix4IRj4v71sAur8YKsU3eHXt1cF3Fs4fkM3J3ZuMWahmCxKtVA2ZC9
FGXcAKmEHtFQ05pdglypY13vqBak3EaFCtKnQrWy/bl6hT/N9Tpf8hyGYhqQc1EEzjFevvaVlExj
XYJzwXA2Ic5Ajy5K9S2KXDxVtEO2UsSQBFX4fzgFzQvUxvmmL6IUrCcYHArOhfYq7RznRepG/k+4
IukTAZn9DY3pZP/rr4scIWQW0hMZB7TbVFvs/qaf4uGmwTa46pykGFeMYTiEI21UQwsI4/l1SZgg
sBItfENeO5JjAIZYqq8J9oBne5DNsjND/qpR68oKpNl4hQQzBkwaiDsjH/yvsREWT12UZRvptvnG
NCcf5AcqyxjZFmpCOgDq0CZ7q2hfaAPKHQ11CL9BG5tLx09QAKJaZPKsu2tXqjy+PCRngHJXRI7X
0F1x6ArcxagVw5aQpZGY2BJJMzIQIh9UvEp7siYHkH2FJdsl9oVpKzmd1wt1wC/gRjBANBhtX2TT
TYfIaHh1UKgizyydfGP3s+lmKlsuSwYH+roJE4RWt51X2JXyUEYWVX1l4NU7+qRdFhRVd22qhz9c
jb+dpLF1n9WWeeFrhbsJrKZZigrdO1+/4lCHNOudXirJU+9G7ibPK+verSxlZRo1zlRJhyVIXFhi
82LXuBo553PHvsf6itq0c5HBNpSyfLrUej0a1L6pcKIZmfa0aJP9xIj2bNWQK5BK+VvMGr4TjQo3
LyHFnYEENzhUghsZt+59PvvxLKNxN1ENttGhp/pFsiGVC7hL/mWKX2H0mix3N8JXcL7LZDpMitq9
dbmvPGZ26XuTBCS4JKLvn/eUyMH/Oar8soOh92v1l9giSpWHwE/GWx3f6h5K8myAGKKveds4B5c2
LS2c1nzW29F47mrFeI7NcrxmpbLWYRUqyxEz1xKMVLilswF2NlDqO2qhWK4oiK+URB+ufz11MjWp
vmLbRgFMymyew4JDwX5h1oW2qAogWnk7IaVmIK4Hs1Av7IrIRhQ+cpeNUl+VCJ+9ASw4H7HtjvtW
jOkNfcRgR4cUctmvsUzUHTUpxaA+wQnlYqIKdI2T2F9lqY150ZAdAGpiEG5UVJI7EJLWFxcW5Ub6
qmGiCmcxVJEiP/VThUyxwSKuVc0cUEBhxVPHJGQK1LS7UIle6wS4IZPCuENomt/YOMqWFGlamon4
up5USEzmgmCSeDW1Y7MGokdF1B3jRUvo442OyGPd6gKWHFkQFzEloFvN7hWiQcvhprIblm4bvfXG
pp6pL0BI28lSQEvBJIkKfMXa1O3cOph61PpNedVLJOFebufFQ1sM+bplwmEPlNvNBf1ueVMFyHBr
ulNgqNLpauy1cg9RqV/rQqM1WCW58tCoKqJ4J0PpDRof7XjHtKEGiEOpKZbxYmoiM146XUW3GGz9
Rmp5+jQ3H1dZiQlYdyPtVQ0wBhtZ1QCj7NVXkOOCQJoIlpliNP4+RNK9AsAu9mATpwPUGntv9ca4
cuRY75xRdOgDxq6EP+ha3bCQXcFMR4tiOqjWwDev6NAkPJ8/PBgKXIKFO+f2tFKJPZ+/ehvr1GoW
KPD8baPFxiai2U6SrU8QLZrO+Y5u7HCAvOSaIbZCGgNeG2X3YkjqVeFAgpvKUNnAe5Q1xa9RfBvz
0SGjM6/u9U4H4JNEykXgd7dtOdoAm6pwjv5+cyr6/ZqRf4E5B70qHv1LbgP7pIr1DWtLU68dp+5X
Bc6AjU9WOX1JX14Yvlm3HpVE0ipaQk3KyaRgGo63GJALL2ms7LudK9+bybwZRKOvxYCDln1btcMP
Dktsih76Ipy8mgQ0aIHVhgfReQCCYR76Wb12E+cLdrbak7FOsCfebtrmxPAuEr1GduBIwJRmaaxS
u+R+ydLBt9eCXmHGzq+G0r8qKeR7CY2ElRWlcGkLvWs3JAGE34K2M7doqTDxEswNm86ZivvSIDQW
94NKlzQT4UUYW+Vtnid0hlGXL1jVs6+NUrbfy8627m0N7NkydfADtd047UXkJhsjDdutEibmgDmq
Mmgv1dMthp76Ht95suqy1h49ooBI9pqADA52PaNCw3CTulO87qqEI7maRvsg1iiYabJ6dfGWXGiu
gsUvSU2Xajf5l325dloioy+a/JXtPWBTK3euNLeVqlcLszh0VVwrJJi1PWVLOn4IJtxNrITNWjot
n2JGUAOFSoXAAKD7dbscfPOVfKQKjXQ4jTeGJuNDbspi3RKy+dWq2V+hKgjF9ei4ksJhaO9poefP
KMVUf1Hlrf6kziukpWUl4hAnxKqbtxdh5BgAvRoyfaVuot6v+n1qBt1Fr4zJd4gBKK/hsBeLopX+
bWeX2Y+ssVWPvCZirZu4EHwipb3XEmFc1jKE+ouhQl+MHbxGL2oMkPlgGR713M5WiU/rE9BbF14X
yviWdLbzRRQ2zA13ckDswJ8wmzT2YiCfC/Z4E0thmIXtolUGHANjzUwWp/E2LjFa056DU5qy2u5H
ThUAL3QM3xpFuwYmYRNlD0DWvgy5rBYBs/yCwg1iMZfuY6KVz7Ue68vESnuM0IZdtUuTnTEeWCt7
IMe1uJRTKnZ17bOVWgUZ0dC045LSafGiNdBIthyXLOVtlGlbLvoaEDKd/CepVEQYAF/fcIrpMctF
JEbpirxkUUxv2SrGL7ivise4wo1StuVgb0rFBP0Y+XSsNuRK++YC+IfgMCXzg6FrfQ5jJhq+JbUl
6NXVfbzvRPsW9A4hzZR3LlGI5Bc6O9vveYn0AoYOWQdKcj0VHYqeRlfSjUxoEPS8qktkCj2GiqqU
14ZwguuYzdCMX48bGqlmdVUHgHGbOhZ3fP8/EBiGi5Y1DbqKjRNA9+W0J9m3vU1UigxGkIZPcHt0
Fi5bgzSb+YcGydarrqCGR1v0zRiH+6kVjbEmsguTct5rmxhizUaWig7ItU3vQReBqQnDqr4zYRqD
VrUayAytup460jZMRvxWcQpjE4aWfYm3B0J+Urf2LkQFso1jEbwSYQbehZlwQasqWDvBYD9w1GE9
Cdzsm5/Z6rIM3GdI+/2FWmpiw08Ry2qo5L0RGbgBnfqmK+T4Gkw+CQmzAY/nNsZXrjv1m67GwIbJ
0dlUcxeA+goPBZHSs92FxkPUFfU6bskvErULTDFnTzWGlrs2FXNDuJC45QzyxISc3AzlZO2rCjuG
7KW1KtPcfynmBkZa9w4Ufz2+tlCH4PWGf78QNbtb2KlU9rs+vyNUMWCHqxwgAEgg02N28CPFurVh
Xyyt2CL+NOz0n1qQ55jFemyhbRTs/Txsb3JzCC9TMzHvDah3OSLIyVfarzGgVB8OwCZjul11pV5i
SxhU1IittUUt04I0TIrN2OnpvWTGxYSRY6+FH7Cp0/YhIIRlMYD62uuzd5zW3LfQze1tHISsWGwE
90ykCkx/t7tkK2fvewN5UhNUCfvfIv9JaBJmzVSWr3oV48lxJKZgOlNh8lqocaxSqW/9CxrI8ZJq
Cf0c7GMPrVCG0VNcpL/XUVoHwivyqhoWel2U5rrKh4mjWVi71/lYpw95BgAFAoy7CaMmWJaUsB4s
0bwBNmgX6sRWpa70GuBy/902OTWYKYELbKo4JFXdSLxIEu+IFNawb2tbBSkKaXWO+cXOrKeMpHnP
8Itgy64wXVLu+N4IIlWAX/se6q1bQVreth2sF5sjCFKLS7NWD+yhQBQB7/WU1tG+G27aXxhEya+s
SqeQkuT1TeBr6AoU/2eIHv7WVBVxaAb3ZzUYyhNgzOZRIFAMl2ZTVEDc62H2TWv2QsnNYqO6Q4u+
oMqXlpyBH6gVz4iOP1ZBhYuJcA7edDVH2Ee1VmuADdzBLN72xqzaUyjGRWXBmKw2nMezP1JTzzXX
+WpYMFTHoiR1zGOzB3Ngn2TX27GA76I2/CPKaNoS75YuP6/wfigicykSDZAmmAKnx3GwsUr6M+VH
jRsLneBhiA2WjLjTrlTZJWdcBe+V8X/fFSaQmceGq+ADPUBLTHUEyVtvQU21l0mKfNGqATL7DN5F
FQzZpugYXH9+f0LTNZ06nIlR4OjFmaR3C6WISBJMeIoY3lila0p2nEmNM/f3XoP/9/3xQdPCsDGo
GB9gkUz+U1kq9TYbQx0lGt15JjcnBgtBRTOl/HFbjhoVxHQKr1qM1meuP1fi/9u18c/1dZ3+jQX7
E/7g+5bDGBhlqCawBWD9UoCnzQmnvn/8/Hm+1/L+fRGYCkj8MaeQ6C7eX2TQWC6kK+qtlJRu7T5k
FxHYun+dCnUiHpYuZ9eSSVjUbJI/v/Sp8aMLyxQq0s/ZBPT+0q5pDFpA0udcJBlXdDvJtIznQrCt
qETa6wE7sBEk2+rzy5769LFxsDfnzQpLmzkTv3Vy9AYaCNFLdMGrON1rWfeIFHfaBhaj1rUZv59f
7tQHqTPHqAbK85lf8f5yQQ0PGuctl6MD/VCJasPhf1hVhJSemWW0+YEdDxiwkwKBu8lEcyw3d8mX
//tdWlPbf29+jc3Rb38MkrGpICm6oqSsbojlUV+A+VBMIq3ofzBoddfB5WToiJI+fDS2LidCBRBA
2IFxIGWCan7AFPvnD5VXOLevUN+JYzCuMfhGa2RMPb9mAYTdtCII315oRlyeeX+nvkJjdk4RcafT
Ypzf72/DJRlmrDl0L9R9FZSuvvhmOcUZZ9q5axxNapEpBXgixogm5NVk1RvDyc5xZ04NDsYfzj2G
ookJ7v19uG7s9LWQZKKzd70KWlXsRYE6Zur66EuoMMNUeafeBLCQliVyuZ3j6+dmtI+fHh44kxYK
359L6eJoRjOQcuizv2YboApE6yctDxBhdZkqcbVLCDddfj5MPj5XrmfjeWMfJT5a0KqZejICAttm
eF8uDGs82KFmn9lKfPzAdXroBAhR2hUfgT4oR+VUJynpvjJovaYsIg9Q+aUd08v4/HZOXImbmEEz
lmbqOC+OXmFDEM84OsWWqQ2it9Jc6KP9UNbx0+fXOfGaNGDhqsa7Yuaa7aK/D3mrzBLdre0CGoK6
qtMXAu69OAEyWP1DIP6PXhLxcY2FefvbpY68X9SoyGK1uFQLsWBp5EYw8xukBIzRtSuQXdPjaLIf
w2zo18vKoLqv1pX/FXS1sgLyCTqO7u8GU2BDg06nAJ4RBr83wdTspT4ocOgghvqImO+MKtdBpNEt
4lwlV6mQsdzbXTpc90VLBRtoFlI/Ko6Lnuivv1HL//FGZ9Pu0dzMCk5fDwUY7lnzeLFL00khA6nl
mTahfHazXL3WOudutKzoJQNcukdDTf809b/WiCTXNnEA9Kyt3Uyej0ig97SqTDzRPmY+ByPSF728
yO6giZEjR2EpK5IKNkJPvTHS7QV5OboAP1F0i7oT9l6JldYbjMJAHDXhSpeOgHSWxEtKePZlYqBl
ILnT9wbm66Ub9PjYiaw1uEOXpyUUzo1To77afp+fWbROjDX0WhoKDtYstvxHY83Puordx8hziZXm
stNcFMtdPmyDmBhBYlP0fvv54P644YG8jHPZNFwAzEj23g/uqsDI3kMs2rqOxMoZAbWqglpeWnop
N74TyMuQ0usDXsTgjHHqxOfLbg5ktECL8/HMUQdjp4StRVBGNI5fOqvXvlX0ex7Ib4/f/vgmEXgw
G1Hr4D/HW0f6opw3xzbfZl1NV6Sbxe10gki+wG6yQwBGYmpDg31EEErR/vOLn7hP9lU6hmmTkwE6
k/dP2E6ClrJTnmMWQAlc9flDMJAOhfi9/uNtAJ5DvicbhZENb/toQqQG1AQF9qMt0O3ncQTFIRyk
0XWq6388TNluIJhCGMXpQ7WO7qlsiqKFSpmiK4BFNVkUXvX4pu9Na03h6cefPkADDxwya7zTdJE/
bBmjtMwNmFSoIDN9q5RjXtBDpKfTpHpyLmPg4wfIxdjasDUAWC6OeXSAWrTQQgy4nRTjIdSVZ2I9
fsSD/hD01pk9yPwtv9+fcimOpRa3xpx/bCrGBRSNuYIQA/DYSqdW6hZmSh5ZNy2mvNtTpjy3Gz19
RZetqDsL4I6txQrYC6eYr1hp3R6t7EuBlliv4Xq2gFAWYSvOGHo/jn0SDGYH47zr4IpHI9IEL21J
3062Stvux7TbkjpyE1nqmct83NjMl+FoiGGa3cdxQQEl9xBF/OhtpwjlQbFzY1cOrIifj8OPUyVX
QTdK1LjAV3js6x1I1cjxXCTbWqeiRaXHS+P2p51bB5iBNNSdydPHc/bSI0v0fCLlqkwctmmCcwaw
/3768LNJuhz7kq1rjlTBQcuz1pWwUAaXLv2ECW+BcTgVCzKJcDvak4t1rVHtjST6dZfSR14D0HqY
RrO6IzaJULESqOuvbQExVOYFsjjr0RW9tQ1kY56Z40++GMedDz8amP/jF4MkIZxjn9It1el8FY9u
vFcG6pyfv5iTowxdJSUlV8wZA+8fUWZULCNBkW7B1qS4qrqtmiBstuW5XcuJDxb2AHtb5iHQckev
wgQvl5cV2WrQmnSELH64Gyx1WH9+N6dmIHj+lOEcDuU8u/d3M8WqGIJWSRAPQXHtbJapwWzlChDr
axcbf76L5syITJQlA+IAQQnvL4ejweoQXCWcHf0f87OrI+uQ1f7z53d16uMhCd2ykeRyMDgexrB1
cm0q+HjSyHRId4LqixvtB82WYl0HpvO9T8t4R7WwObNUnZrzUMSC3WDx/XjooXSqhjpkyW0QiBuZ
Ky9THKzL+AkDxT3T9ZmrnRrwHHsEg52T5YciGcxbJKTkQ23BPCYbkgjsQy/ic7TKI8TA35MCD9EW
LEewNo8P/G6L5Qm8bbJ12l59ikK1WCsojhd+rHcpvTm7f4w1p4DAJrubasyTazO19U3ooOmcRgLL
zCAul1oF6zvtHfQYLTCyM7sR7eSTt2c2DmkYpOccfS6136hmn2WsNoNBm0BWL5p0Cw9VWbOLbOe5
HahO2GVIEyPXo6ek75odcP1vxGtirCjlvuwzY0cVySVvVCG0LOQ+Ph+VJ741etpsQW1bhzh3vCCm
Nr9DNLDdhgv4o5w0uVZLxJQ+AaPF+PL5tU48Du2XxticC7Xsut9/aEIbVdXAL7idfO2HSsFhmZnq
SzOm+ZZ05nhFqVye2WGc+Og0jY4dOxpWrA9l/a5Ox6EOCm4vNr+EUaB4woxS+hg47vEIVo9V3VdL
1Bjd9s/vVdOoYlKRYoN4PFMaiovckAy+LWe168rqa6rS6YFqfADcOXjCYhGcGW2n3iRbNsoAQuP0
e4xO4lvpZWNUxVZRA0xTWocqIdflocdQt80sDtKf3+GJNYcbZA8FF4Z67a8v9Lc6WObXsFgLHu3Q
BXQuDLiYalVUSx1F7P/kUsSrQH1kw0guyPuBU9pGJLOcI5rmFvkt9rEJr5q0LqJW085MX6fGKMAM
hqfBtPKh/N0hicsnKgPbJmsf2rB4M83qIW14f1FQHRwIEn98OGICw3QBTEjQqTn+ALWBXptopnw7
keexUO3+rm5rWOCWdeZCJyZmSuoqOUNUnrFxzO/zt/dVTsRyqqRPbtPAfA4Gwpqn6uHMkND5GUcb
+nfXmMfob9dwlTiJDQi2WwT92oJUz3LfmI15J1rLX/hpD8TwV6Z9X5fL2Xv7WPS1jViIXm3rkKfc
w1Ra1XlEpxeQ5krRNW0FHz3dRrqs95NhhAfhBoOXj53/1S/VfJNBPMBp7oweMlh/F5qATicVw5yp
1Wh1Y9r3d5ObIbbKNfiFBblpG7WrfJcD1BDcxKnK7rCIIuyzUX0TAnbaaHUz7lITiWanh9lVp9Td
FsLJAya7xuMJz3ko1E0X0O3LLeJEknV6aOsE05qIhZOe0Bo98npMsuvPH++psckqbmuME50+xdH8
aVUNiT8WYxOZ8Es1yBcswDeGrqz1rFj5Sv8PY+8/1qhOfeHsudnsUb7/yHwywzGv9GDMt7IK55rT
dS+SXS/zM5vXjyU/g1opLlj2JpTpjkOUCIQN9XpwcyJ8kgMJ7jWaQed7lTzShCYWSfFaU3wLSJv7
/Gnqp69LlZYnyuH6eEPmllmVlb1JTaQYpy/hoOISqg3lgNFFTVdoZjjjVGZGrGnSVcsUgzDN7ZyJ
vBLdDszIwiSXbaerrbLWpJF7PsJQBly5od9JB9uNX02N3I4ep6YH1T9YulKzqL3Y0xK4wL1IjMZz
JrMiBDIm6EFOJeAVfh8YkeUbng/tlkDBaVNCvlvj6OJ/xzjqhY2MV7Zii6eKHJAzr+LUG7eAn8JH
ocyga/Mj++37jdTGzPKky7eqfBlpYi/GXt0kmuzOTOin5qLfrnO8MerKLkvB3uZbx0xVHO9WC6Qm
XH3+gk8tiIDaOK0K+m0fqERqJcqiMup8S9PJ8UY43xzGn4skRFPfjGdMZycvRr2SM4uLu+34EGHV
TEZ5yreihFbGSXTadAaJtgHqI12ew/edmggsyv6sFlj2Pmx+U9guVoyKalvH9UE0NqRmf3wu0vpN
RmgWQuvMk9ROjYu5580BFgkBGL/342JqiP1xDPZp8ZCGuLyEtnemuifdxDTAY4CvMMpKejCc9Dui
f8PtGGBqCABKXTmBk6xJFBkfbSxB2DP8gIjRz9/0yV+PCZEyEvVb93hi7AefEKOQbU5flW+6GzyF
ortPdXQk/4Pr2AC02VESd3NcKm46ZYS1YGVbTqIl1Rz5ko8KJPq2PrOQntq2UpxCtEEEJBy4o+9Q
710cHGgvtxLPSEhUKdjuQ12Y+9jRbtKieshS90yh4tQA/u2SxxvWmPR4NHpqtlX6YRO0xRtBFIjb
rX1ddGfOHPqp8cuJlCYZ20fOwkfnItk7RjkNdsY0I8ZvMix/gj63vA7GhUf5NvCUkoS8jBl5FVWz
10DRZmVmjeiPyOpng6LKs18RZtwKHAu42vAZhbK+Dya3WBJPnnqZ3zjrwe6dJ8dk1lxYeYNgSmkI
f0/m0mYhfqq9wM4C4n8o1W9x0V4jxSHZgi1f5HT9Ihv1aNVmo7gvEV2z2AvzzGg69RTc2alLiYNx
e9yAJe2taXL8CdupnHaTnLSFVI1nszQvqJk+y2jsz1zw1CuenVkIZWyKrcePvYwBqUH7ybYRoU3o
4lpY0ROn36UOPMpfNLMm/fMP5pd24mhDiGJGcIN8Lhwzj950oIwpXdI021rZ5Hph31r3RghMPddH
8yIs0vSpBMUGfwLl5C+7gBPK9ClrJ7mSSPo2St+jXP/8lzrx3NlszBZoF2PghyOva41OJoWebhOA
B6uwHq2rPGTbOMYFKX0wSLboIl8/v+YR0/JXvQJVAlWfedYGvyDez6AQFabS7/iim8lHykrkzBpB
qr5ufEgiLojYBSMF5aSZrtygDr2RngzOC0Nbfv6L6CfmytkXjhxjxkySmvn+F1GRRliZjDJ8y7FO
a2T2NUR6Oh3QVufmBU/G3sGVNy+wWAGYSikia0pGHzWqw+6213t1PY6++iU02HgLOalf2Bbnm7Bn
SOGYggM/uOYGSf7biBibKbtbGVYcrtAKG7Dd85nqV9mrIWztpRNcEISk3yd6Ptzw2WJCG/kQnkOn
dfepan9V2zE5czA/df90wPCg23OH/rhwRLktThupc/9pMtyHyNK2gzVEz5GmhOvPn/WpSyG8RmuA
G51l42jVpOlUVdm8LLmFHi7LypndfEOZAN1Mg+fPr/XrvR1/aXP1V+f0yjJ4fPzPFSslDSPicADf
mwAIGsaYvSZD2/glyO7cTrULrVD9WzmI/loIJTiQOOJ6UL/KDdmW9d9byf/FN5zBNzC0aPX/myTw
gd6wfEtfcKa+/Q5w+Pvf+T1JmOIp0zScZFSULP7/4jeYf9l8uWi5ZnUcGODfk4TZBgrwvvo8ucPi
/jegW3f+gskIb5TO4T9oh//6v+/OgM3Rn3+HfdJfZ4L4faARZWzNxAB1LvvQjzma0pO4C2MAdgCm
rDH8gmYiL5dWqfd4laas8HCVZHJdVuNtWghMaWnYeWhyXC8nzmyNMjpHvY69kHzaNsP/COoRmr7a
vw3SUnBIhbGH0AgzfSBvc0dRmKEIzlSAEurQv9bkikFe0tVgxZHRAsxo2GSEZKZ5H//KVyUU8joF
fgl1h9xWJH2Nb3h+nNV7mpDJsi18lG92Gi4IZkBS6Fr1xVABMLEyoEPKYMabnl9OoLu2yh0mIX9X
KLW8y1kq9nUTfYMOoHyJwGY/BFVuLQxSujetK4IV5W59QapUeTMNENOyoTl0TvDDZGO6yH3uFP/K
wcA/vHbdJFxCYgMNFuBSU4PkZ1nrUb9QXVksc5W1zyyJRBKVLEnj4OohPGBLH9RFZMsrSY7vohXi
EGnOg9+1V5qPGDwc8nvM9Zgmeuxm4MO6hXD6+R/ZJRnCl/BPv/hM7h4l3mGfjME31/J3FjT/BfPU
IRmTbxiJIesVxf0QKxMumxxzAdGHy8Qp23WrEk0RUZhhCD4Mur/ybcJdEt+afwVShVGseW416Bt7
slUseoqyRmBc3AeNmz4VBGc+aQPeaj1PS68KWPjoLg1zumy1CKHnNFN5i+SWNCFD2UtjrF4KQ6sf
SpejJ5QyoEpzi7gnmOI27c2t70y4hU1Z3YxdWH+BqvBgNVGxKQZQblozBpcWlmziUl1tiwnVQbTk
PKZTqVQLDumPgeEHeyMrGqSlePSoKfntd0Wt6hzsl6ofpEj16yyqQm3Zi3BwFkVYTas0zO91RQOt
VecI1UWh3zWpdNeN4+dLXQ+JY+LLWcRzVFOYYibrsqFyNyjxcWkFpabBzcKaGNNdXUins4proQ3t
xZz91q77WjEfbaOPLozMUr8Z3PiyGSW74CgW0dLkWRZrzal9vHWQDS566JlyV8RkT5hmTHQPOvlJ
wepKaMTPEefJVSpqnQyd3EjwqCFvXQAlI1Ax1u5/TV//O9Gfmegpwc36kv8802+Z56Po93n+n3/l
XykMpvEXCmu69qgtqLJZzNn/SmGw1L+EMW/RmGh/zef/numF+EtQKaN+SysFT6DD8tBgUAv/3//R
nL8okpss//SbNP6fP4tieH8InQE9Dpoofi2LlALEyvP25rdiENWAdIrNQNw3TVlCSJ4yLPmdRrY9
WA0AqqUR1IcQs8r30obXGoaJckc+4rjJDfDwXhoRgJQ2mAMXKqXfpWJpGI2VcmUOEGWbX4ZZC1AP
oWhdEd3GNTujhQKlbleEhMy0ULpWpUakj1AIG8SB0y+jOCHLkTn0bopxkbsBAVlzCORbPikTBVmj
N26UgfyVIU8j1ByN7F/coBxfbHKqo2UQ8tjIepphsnVSgzlIVYhYdNZeWxHGLzLox1uFziyqoXj8
OtZTDcw6SGxUDZN86+pAW4gS4mqAVPIQhNZhptDi7Ewb8QiQYkrObdbnzfh/r7W/XoHFXp23qs6a
eIedxe+vIKPiHSt+Y91PtQ61QW85IogBmJ9bDOCFdZYIexGJzL0t7FJc5hxpSXtHj2x6UaJ2mymE
NIOEqdi5U9uhDMS5K6DYkVWcKM95ZTZ34YjS14zi+Ko1JVDiXwewNPWdTRByPmwbvbjBf/sISdfc
mmV/aQe9eBChILLQ/RFXVvX620dy+/fd/b7DgCd1dNMG3VLeBCdVOhUcnd7fdEnFIGCvkN8bReZ/
Jb6WlIGi0L7QaYPSa7NThfdX77K4lysjzME/ZAoUtQZwxdXQDuprmcyhYK7ZDzfz9LfvC92890f+
W6UL8UZZULsgbLO/QXynXepBRbfA8Z8CYxBkB0fpU5KTAm8B4ttGZG1uQqVWNkmnW8uxqOVqUjPG
tC7/P3fn1twmksXxr+Kad6m4CdDDTNVK8kWO7Rl7knjypJItRSAQiIuE4NPvrwElAjueZDq1Qy21
D1ux55g+dPe5/c//KPt3SqEvGHx3A5BahTJxNrhiUG6SjoyZPqGq6p0fBhApKduhczFwP/lb0B+G
EWbPrkNXt5/q2fMWPoSplfvxVZxCijKDoR9ix91F6maHBw6ld2ftYahm+rh75ekLBXNABnoWm8kE
RsvBOxuqnrE7A+U2celRHoUWUbNSxNqYpi0GxwbwiB7gYohGaeCubzeOHjFIyNcec/y2pe1HdKgH
sFlSEIdkifnElnoROElyNTxs3Xd+miq3M0Fbagfq/ha6PRan0agNRtIp1ld57KyH48KAHqMHI/rv
SaqiUM1dXbgFEXU2EGez5xWMc8nI2zgJLcUrb3VjCE4IhSLU32SWBs07C6AV3U44cqSuKbpTTxPO
68mdpTEmdrbaW70Hh4l79yWvQU9N4A85kOaIrR3xzlDsnZimUmiDinGSJlv63bLcWTCk+XC3NZmO
FqVK9GhFxnYCr65yCSjzL3jTGWK2MzcfNhFSvD08oKP1HpfG59vfhMxZHCkpU/WSAdVQSKy1h4MS
04Bv5Sw1L2fTOVBYcF3lF3s6mcSFGnrX8WCbqueDtKdBurWLkHnYw40AKdF9uW2ZxjrE74KJJI4G
6o26xbwzakv5y4ZF5nEIt+4jw0CiOzdx8WI3jFx28EUC9ylQvMsojHsQKx+G5FD03c68NKA2tc49
27F/tynW5udvH90yg/T1vhLqJ/KwqRUBKBAxrzjaJ+rPIjXpMT9r9qDFW7z5FBa6UR5HvT/XxZAV
qGtNGVPG6r1f5y7EIQMSxlvGSwYO1UjFxbzonMHdSPMBltugOefe3gSTOoyyLb4LFA6fYgNGxZEC
gdI0cqm8/PgCDGFeSU5il7VBa/8EhZfEqrOyHpi/mp5DXXy4i7ar1UVkwvU6SgLumVkEae8AuDk1
Q0HeYjLYeQ5x5OCdmpmzz5w9cjlaHs51Sjg3Znbwrh2Njs+LyLdn76HYhrzTCVbQ3bz97qU9binf
sIgZqSOT2WLyRkv5m9iNCyMbPIQ7eDpGWZLMPrObZ/ZVDIH3Rxgbitv1ITn87luCgQKCehdyhsCc
2lt3fx0KnpgM6DWlzyyelowwqbkZXg4zAzc0jnYBQ9MS98bSWH8G9xgTMZMs+YwDDhnb0DWeEqj3
pkpRwJTkRZBy7IzMg3Zmb8Xj7ZrZeweNkCvd7WaPGoTs9D737OvEjbTzGUHvhZ8wUXbrO4dPDDUs
LuNsP5u6EF+B8LMCe5xq2mGplowa2sbAu062mnpe6NvhhR56T+oGLnJHD4jpvO126hsUiBnvGU/x
CSB3FUdvNuytFvEMov1z0+MfdzAmw6URaw++luS7yQbo0HioRc5CYXz5xVpxZp/Yeful4VM/znn7
qb+2Ztc7NyhuDUWMSaLxV3ugYslEeG3jvVcYjLYiJjRdWmnXjLffQHe+cg5TD1T1OGbcw7hn+NqN
c8iSCWC6wx2RNLbk7Y2Ak8iXbuwEsgD4DKrNnS3cwZbbwF292cHpGT04vkpLbq5wwEbl3exnh+gy
Z+b9mIHDLMBhCsIFrth2bpLLuy9Ab3lwAiRTpxdZRDE0xEUu8IdRvlFcqHl7a3J0q1VwwYg3cVxB
Yj9RI/Q/cP2nT1pm7Jc71zJ6E0CEG2uSODaI7wB37HbPAMxzGtaBcB6MgGDb1/2Zf+GrjE2gmWCz
u7JXvcMkL7bW9GBsPhyyUNV5S+BB457mXgouoXvyqnk2SXbKbhENMCvsL2fCQGRAKGqRQIABC5Ll
i1GWiviucK2lj8nBuyIKZ4reAYZyOPLzRxUC4Ike2jqcULmzYWY7B4IIn826pqV/TPul9QzYFt7u
/d67piTBINChn/dGpl5El0WkOeEtU4ANJtTvPOcjdsD9mPTWvg+9UqYTL7qb9WNCIQlGDy8yV1d0
VSiH8UbnNhgl0AwueqQnH3r7TDg4MCFfKzaJhF6yMSdxIYiWdQfAY3pwNgrL9bjy/DBBUQBR+P8Q
b2G2c0crZmMbLitj4hcqqHrwq1PYeLA6hbrWn2hSdfPxSjW33rseJEe4P8P8HsrhENjsKlKeKMJy
r6YRGficm10Z9wIyCKtB5l3nbARbNIxAfG3k4NFoYtH/gouBRoFc2RX3kGzPQDDS1fQQ41tepYIZ
dpQkRfGZSRf21N4VPfjDN7Aw2OZMBdoSF9k5vRaQQSWmy3DxeGaNCHvZhYzsoEuccZ+TdDjweqPB
dqZMXL3wP1vgYUh4QHg+wG1l3qrHjGA/8zZ3lrVx/oCmMRtjDIZohp7N+/Ig/d9EtvVCRIrxPEjd
NL/fLeP8YZnAT/Qlpyd+Wk7uec/Q+n/yS8fk4OuCzpal0L+JlcHA6eQJG7Fy+VLlG78lw5/zzrvF
8tdfDKUPTmQg5vXRv8eD7+eHwar+cc/W+vyEYNqglCYe7B9/8ERJ31LD2yus9Pn27zRW8ByCAhPf
ARr04DT8L2H536ODloSvOtCHfVD+9PvRNnRc46kOhsxpZEqbqQ/pwBcPJYd/RQfzBaWGiZuksfuc
nupAJ2XRzpr86E5AC7T4WhY+ZqUFwuZTLQBL7DMnj34ns/pT//s98M31qwyaxBx/zy5oyTjZBWT0
yWtTM653AQJP1z+0+wBOQeeDNC8f3PBu7QL8EtJWckqw+mC/TSoh5EbE01IC2Ns+UyY1C/eo0kLX
lFAVH+WUQMYPYo8BtNyvK0ER01mB6Jr/1mXY2sSVtZgufv1FB+hX7cuqFvXFvPyISdBYPtgCGEeq
5bcvAsXqYzFIIpE+K5+u7QEMo8hRyG0CvjEN9IYgeCif1kkYogQCc4psVqWE6uh16FIEkKDJagH3
gDYr0ZT2uhYsq09CG86tE/ehW5ciHUj2TzgRlAVoqjHqE4FaG6ZBZy/Q40TPR6Wm7hlIQDmye0FX
+mTLWaZZX/3s+IYWVPYK7WXAf6oT0Tk3iRYOUcKXuxdwA0zG5yqM+iif1u041PqAshjaqdVaosDT
sRMBrFlWCdTYMJEgImpfqBU1CCWADhYInUpJ3VMCKT3ZA2EYeIT0N2pHX6ilBVU1+uaA4MlWOrd+
0fQuexQMs09GTBUdidVXbptIo88QFV2hZNC9M2BUn+Sfu0m60RegaM3GwpQPVub0OizjJZMZpBS0
S/VUh65LDgKfRloLRI0DqPagXKm08OIMmJwBeA9AQXdTC1S15PeC2mcykCAeq41C+ySgJbKouEm0
aIoHLXXLKMB7J+0mgYmDFg3cRcsxsExySLRXfcmfVBdvl06CReeBpE00SI/QqEJpoPrE7UyapfZp
+bLBW9U2s3taAM4oaxN08oUa7RV2vUiRkTi9FW3yB6JnG5xJZTO65ypT6JbVgmb3qRFB53D0lNta
wD8Cr27glFda6N5eoNYvqwUspOjSJldUGUCROz7dC3QH9lViaNDcnbONwPht6fUP++TRAI0fveDW
+m2zj/dA+oAu+vLpnpdogK2UvRd1JueBLqIpoL4YW7tAU0gnEViSUuuaVQT8rVSmWsJPtPumAYYc
/phq/S0/0VbIqFJgof2to3eBPrBFMVwqbDYYhQgrJmqo02UtLajlLoBR8RhXd/FGkN4LpNPA04la
Uh0ztO3CsM/FA1P3F/PZtRMh2q2kPSX2Au4ytz5Mr+XTuhEUipKmiK2O5rNrWmC3CrI/qROBp8R2
14ArvB4z2DpaoiQJK25X7wVyCLK3IzkUKEGIwI5p9Pa9wF6gyo2Sage9Q1EDryy9fIICC5Q6nZPV
R+baO3WRLNxpnU2iiq6kjkWM1AJla858fRtw3RDjWF0E6PN0+TatWaKncCj8KPF0LloA1igIqqRu
AmEVMP/DAWCg8sHxPNWCRRqRgAr4e6WEDuIPwNPL3ofsBRAWKMGsM0kvbaNFCoUid2djJhU6Stm9
YPUFTyh4nNdLTapCAG1QxoDoo2s3Aok0QZYvdRZ0ogX4gokbv3rDp2cBb5n+alwHbp/y6dyNQNuR
dC5Jp7gsWo2oNFWrbN2LFjEFSXeIO+ufdzF/IB85AkSAPs8QLHPl04qfrQEZN7i3cB86uhfwlgVn
gdyJAIhA24UgNa9W2fKQLGIGmwQ71KGVljp3IqiRiHZrKS2QXSW1TJzMpPTyadlIMHqkECxAK7Uj
1TktCHCApBJMCmrEBJbCLJfywQScXo5wMvXpUoAfVHBMoe8OOcsQ5NU+rEQqZdC3gfaQL6xDotYm
IKEGwSDDZkhBl0/3kgivtLf+KFCzhOCRYlcEy0bz83NVQLovgtNuLl9w1Vem6p9vAkPr832B6uIx
l0/bNlKHEazdlBy7dgZwaWRXL+or1KpA4bbMAHsf9ghhKus0Y+dugFc4PH5064NRphsOiPIRg8si
T08AHgEkcdCCw6JRPp2LmkljCBIwKVsovEPo4pg99bWafKoFombaBQEhMUKhfDqnBTI6okFZSguG
3oetD0t3tPht71CkVtgqZZu3UENVzumSSaTcWr2UxG1o9Jl3w9wl0Zh4ugnIHNEuakKKXidZO7cJ
wAZJe0TGAIvPfQjVQ3XgW7eiOexrVGHpfe9q64YYVyl5EgTugpHDpNNb/iDoXDgV6d0GplY+P5Ay
+I5z8qUbagwfxaLsg3KXyWvtUt/6hWP/z8uf170/AtMuGnwavyjaoqq//bVN6rcGJL50fE9+eHSE
y79T/+f1Al/+6cbfOq7q+I9X7jKex89OXv4gr1/zbr6hl+o//vxpvpmfNuZUFv/rm/z6S+M9Tz78
3whOvJZccXSk5cZuEQZNwUMBhpIX7M2DZJ4cJYnPqJawU1nJ47nvfg4hq268ddX5Ii079MN4vghP
37pqJ5GXHATL59R93qUN4WUBQVb4G9xn3+4i/GJ639p3x1azs/Dz2TikrfSpqfbq7pJ9/wu07i4a
35Pkn0CfyEq+XIbxqvnKdeVOVvK3WYgkVT5dzJ3GBlQroLLsC0/heQwY2HtUankicUUJnqRFBwt3
3rpFKvSMtOQwa26LqpdDVuy7l3dT1T8oLRgBu2cvP+q0VHLl8MuKvgl3kI201Vx1dcjKvp27wbLx
zpVnJi83zv15sDgVXeNM5UUnyfzZ2SXLNG3s6TrDIC3ffWZuybzZaFwVPOVFYwuSMG3s7BqOLy87
SVz+B59/Q+kVsPNnSId1uy1a9BFIiw4DaL1bKimrabKS75ZP8bzlPdUJaXnR+3nTbhHXCkS9vODs
7Gq+2SaO26Q0rePmnyH/ehkny8ZNVZeyf4bw2+XBfW6YMYT/DIt+t8zOPoWxd9RxGR/oRHjHf3iV
MuG7nJ07WMacs/E8DrGUzZ1YVXGkFVP+gcnca5/9ClIlK/535gIdtVCqpWKHkBbr+Xgkzaim7q+V
Fh0vV20uhxJvKiv4j2UQwGCzn7fChLojVlb8gxMulmfT5IVtq7oIZMX/KXgnX92IdYH95/yBlxtR
iP8J/uB7tL9MkmXDpajLP7Kv/n55aEaVdfeOrNwP6dw5PTw1oYas2I/LmBG8jZiPbKVI+klLdols
Wtu7Rh7Iin6cY3eCVdo8mjUIWFr4MknPPr728hXUWlq+mzyHQeI2PDe9gidJy85D+FdWx48nLtma
b+Ftya9lmr7UZl/mn47UOK/9Z83kmviNZ385j3/7LwAAAP//</cx:binary>
              </cx:geoCache>
            </cx:geography>
          </cx:layoutPr>
          <cx:valueColors>
            <cx:minColor>
              <a:srgbClr val="083068"/>
            </cx:minColor>
            <cx:midColor>
              <a:srgbClr val="9ECAE1"/>
            </cx:midColor>
            <cx:maxColor>
              <a:srgbClr val="DEEBF7"/>
            </cx:maxColor>
          </cx:valueColors>
          <cx:valueColorPositions count="3"/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200" b="1"/>
              <a:t>Medicare Efficiency Index by State — Lower is Less Efficient</a:t>
            </a:r>
            <a:endPara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plotSurface>
          <cx:spPr>
            <a:noFill/>
          </cx:spPr>
        </cx:plotSurface>
        <cx:series layoutId="regionMap" uniqueId="{FAEDD68A-6D02-44A2-BABC-B333D179389F}">
          <cx:tx>
            <cx:txData>
              <cx:f>_xlchart.v5.6</cx:f>
              <cx:v>Efficiency Index</cx:v>
            </cx:txData>
          </cx:tx>
          <cx:spPr>
            <a:noFill/>
          </cx:spPr>
          <cx:dataId val="0"/>
          <cx:layoutPr>
            <cx:regionLabelLayout val="none"/>
            <cx:geography cultureLanguage="en-US" cultureRegion="RU" attribution="Powered by Bing">
              <cx:geoCache provider="{E9337A44-BEBE-4D9F-B70C-5C5E7DAFC167}">
                <cx:binary>7H1pc+O2Eu1fmZrPjw5BrLx1c6tCUpsXeZ31C0tje0hwAxeQIPnrX8uWZ2xGyfhWfF+Vqp4ylWQk
QWrisNF9Tjegf9/2/7rN7jf1uz7PiuZft/3v72Oty3/99ltzG9/nm+Yol7e1atR3fXSr8t/U9+/y
9v63u3pjZBH95tiI/HYbb2p937//z7/h06J7dapuN1qq4rK9r4er+6bNdPM3r+196d3mLpdFIBtd
y1uNfn+/3JiNlO/f3Rda6uFmKO9/f//iPe/f/Tb9pD9967sMDNPtHYxF7hFDtuA2Zu/fZaqIds9b
iNIj6nDi2Daxtw/09KXrTQ4Df23Igxmbu7v6vmngOh7++3PcC6Ph6dX7d7eqLfR2qiKYtd/ffyik
vr97d603+r55/042yn98g6+2ln+4frjU315O9n/+PXkCLn7yzDM8pjP1q5f+BMd5LNXTvPxzMIh9
RGDekctt9+EhXmIinCN4BXNM+AMkNn767kdMfmXNfkQeR03wOF8eJB7XqtXxO39Tq0wWm6fZ+efI
YHzk2tglDkI/Zv65twj7SLjEFgihR+TAmx5d9BGZ19u1H6Pp+Ala1/5BovVBb+KneXoDjNwj7GDO
mUMfMXJeeg9gc8S4cByHTdD5lR37MXkcNUHiw81BInGeZptY5W/pMRA+BCaE7cDYxo/nHuPyI2oL
bNucP3qM+3Qn7NayV1i0H5ef1zLB5vzkILFZ33+rN036htgQtA3taOsrez3FdY8Esrnj4B14E395
jUX7sfk5coLNenaQ2JxsimYDyclbpWNYHBFBuOPyXYSfeo04wsJGwsb00Wv403c/es2v7dmPy9O4
CSonkGPdHl5W9mlQkDVHT1Pzz0MLcY5guhk4xGMubE9Diw2rGUWEgL884vL03Y+wvMKg/bj8GDgB
5tOXgwRmrer/TXoGwQZDYkzxbvrBLZ4HG+4eIUGxYGy34E0XtFfbtR+m6XVN0FofZnrmq0zVm7s3
JDiwvLmuoNTe0srtY7K8IRuAJFxghl860GtM2Q/Nz5ETUPzzg3ShRb0p7t7dKL3Jnqbor9a3/yHv
XdyrOpJvmJJg54gR4Qji7gjW5M4Q+IgQgjlwrMc7Z3KDvMKg/ffHj4GT22Pxx0HeHv4mk99VXbwp
NvzIoYQxF7mPcz/BBjgviEgcMkqyY79Pd+Zj9HudTfvheT52gpB/mAhd3BdFM2Td5k0xAulIuADR
zjv+tLJyfiSwENu88jFBAWnpuUDxWqv2o/Ry9ASni8PE6Wwji/unSfqrJfal+Ph3QiuhRxh8iNBn
mfvzFIW5Rw5iiNicPAJEnr770Yl+ac5+ZHbDJpCcHSbb8lVR3N9qedvqp8l5A2CADHOKKH4iu5PV
jYPoiiEyIYc+feluWXudNftxeXEpE3T8w9SQVspsnmboDWBxjsAVGOVkR7kg4D/3FxeDfmTbULzY
vT5J6X9lzX5YHkdN8Fgd6AImm0a19RsWiyB9x4xTYZNdkjahwa5zRDjHHDm7PGDiMWevsGg/Lj9H
TrA5O8ws/pEwBpsU8vg39BkOSTLDUIbAjzEENNXnPgOoHRHmYucJn4nm+lqr9mP0cvQEp3VwkOn0
H3X61gofgUQN0jSMdgrepMa39SHsQhUQ3OzhMfGh11i0H5+fIyfY/HF1kNis7827L6pO39B/QObD
rkMw3skTk5jD6RGDVyikaY/+NYk5r7FoPzY/R06wWR+m0Le6g3LSGwJDQPZ2oSLxRDAnToMQOWIU
BEBhT9zll4bsx2M3bALG6kAXsexty0eMHIHUDT0Izo5LkkmYoc6Rw11BGJoEmD9+acl+OJ7GTfD4
4zALemcSaEzztpGfAbt0EUSOXdSYkBgXIHOh2gqh/8krd7TyNbbsB+XZZUxwOVsfZED5o5ajetOu
EXLkbLMt8RQvJmWJh44EkARcRh/rEoDac1HmFQbth+bHwAkwf3w9SGBuQDKDJrL7+6fp+ef0EtMj
QRzXtcXOYSZURmwdCjtbWfOH5vkcmleZtB+cZ0Mn8Nwcpt/c3PdvWgNHQFKwINBM9WPqn7MY6E7A
kKGBlAn4bR8TKfOX5vwVLA9XMYXk80F6zFUMPZLvVk0GxaK3cxroG2GOcFwKDObhMUnDOEhpCBxq
u6Q9PCZFmtdatR+gl6MnOF2tDhKnOVRY5d0bSgCOOKIutCJA6rV7vMzNoIWUCGggdbatV9vHBKJX
GLQfnR8DJ8DMTw8SmC0hW27ysoll/YZhh+AjJoA/uk9i85RhbsVo6GB07V2pbZKuvdqs/SBNhk+g
Wi8PEqpT1cpGbt40cbOPXOiAs9kPN3rpRS4CEQdBK6n4yYCeZwevMmk/RM+GTuA5/eMg4dnec2f3
vbx9Qz0AkyNoxQahmez6eSZuhGx2BLsaMKR3k5T6ddbsh+b52Ak267ODxGZV3L2x47hH0CXgEvGk
Xk6AgbQa2BB0/D4pbFO55tcG7cfmx5VMgFkdZkr96b7R7z5K6LF50y4BKOAw4lAOxczH7GBCSGEb
AwO3Ar/Zpd6T7ODVZu0HaTJ8AtWnj4fpQxlsNVGyecM02z5CoHRCF9xOZgYV7TkBEtDNSATDVOzS
7InKtnqFRfsB+jlygs3qMLO4x20zb15mg+iDoQYAmdpeL9qW2Rxsgx7HQBl9nhe81p796LwcPUHo
+jC16TN5G8toUzzN0z9XdggU2DjhLixyj+hMSKqg0M9huwDd7vVJEec1Fu3H5+fICTZnh0lOt0X3
7Z+ylG8HDzR6gqQm+I+168+LG6ihDnQI74S3P8HzKqP+CqFng6cgXR9k+Nkmpcf3dXM/vB1G0EwI
HQS2S/EuDZiIoxyqbQAg7HreaQyTZe51Nu2H6PnYCULr44NE6JNsblXRyLdd4xi0eFDMdvzzz07E
QSGlUBLdq/K8yqT9+DwbOoHn0+og4Vnfd5u3VOAwyNOUwVagp70ok/iDEINaNWxG4bvSw58Y6q/s
2Q/M03VMUFkfZlZ9pgr9ppIO4Uc2tHjC3vr9/YTIhiZ2QpHD8GQ1e4Up+xH5MXACydnNQTrK/4CO
wq455AgXmgr3pmoc6CoUtCl0fjy+PqGjr7FoPzQ/R06w+XiYItt5fR+ptwwwcN4BbJcDksl2If4l
BUWODRseQSKF3VpPecdjQ8GvLdmPyNO4CR7nVwfpK2ebptncxm1zr/VbKgPOERSkMezh+LmL47ky
AAU4ZlNY58QElVfbsx+cyfAJRmeH6TPQVPRt86ZHHgC1gR0ecMDEVFZj0GwAqDj2TnaDdO25LPAK
S/bj8mPgBJE/DlOuCe4zON7oLettkIzZQDYZnGSwdx2Djk4CqxzBaFfSnujRr7FoPzQ/R06wCWYH
uaKdwA3b3qZvyDIxRH+HO4LRn30czxczEGocwWE/AdqRmAk2r7FoPzY/R06wOflykNhcwAljWr27
ekWN7X+4J/hsUw9v22+y3S4Otwj47svsgzM4BwtKGHAg09688DWW7L8zfo6c3Blnhymvfryvc2BS
T+HmTdRVm1MH/oFc/Lm3wjY5xhzmMqi6Pjwm3voKS/ZD8mPgBJGPh8miPm2gpaSI9Jtm67DvByEM
db2/KEg8ZOuwv/5p49ZEcnidTfvheT52gtCnw8wLn05bfKe+v4PTI9r825tupoc1zYYjLtBWZnjh
QCBQIOj8gdbHRweC158nif+tWfvh2v8pE+AC/yDC4O3fnkz0OHePK96Ld/6XJ2RCCgmMCvahAu16
eEwWPmhHhQOZ4MSSp2A0wW1yjOVfm7UfsMnwF1fy/+iMzL/OGX5seA82ejN7OJL02RGaf//qw+XC
MamTobt7fm+kepy71d3v7x3o3QYcfhx1uv2QF97y8xC4Pw263zT69/cWbImAtB9BMMPQjgc5BuBm
oO0CXkI2BtrAYKsrlKocqLXDS8X2iKDf30PSCq/AAZzbIhWEuGZ74CQ8DX19D3v2GFi2HSd+HAN7
obIBtJkfk7H7+7uizS+ULHTz+3vo13z/rnx83/bqKIiRmLuQFiOwAAE5AQ25vN1cQeCAt6P/U3ep
KHqGqmOirT7AJJvruNNznGtxSeMiVivqRlbh6SYe6SytWWt9iDVN7jLgQqrxeqsux8LPc1eGC6u1
cH3TDlV2IiJXJheaFfXXrpb8Cx1ZcRyjKDvRJnEC10rroLKlzI+dPkznLHW7QHdJcZqUlaW+FHGp
zrqhLcdFPqBFZMbOj8bYKed5Z2r3SycHLJbCjiOv1tXAPnemb8XFAC0pAVcyPk0cpckMs64ofDcq
hdx02oo/t3XW5EtVqzSal02bslNN7VhHcyvLbeK3dirj3suNFNissxgoHZ+LKhvLtYI90I0X903N
fV4MCQmXumG47me5qmwrPy4ooSLzKid0HRqkLc/DtXDGsDVemMF8Vp4c8tZUfggypAnaruPIR3GI
7FtjssaMszSW1NheWjR0rL0iUWHq5209WoPH2gIXXiEcK/d77ZIw82IxVgQFNCnJ6Kesi4rSr6PS
iXnqiaRVY3I3hsPQ0NTXeTTQoIuUJB5sfeuihZP2Yb3mubZWtinqCzsRoTe6FvZMR2ovaeJiFVtW
t4ho6VynFmulhxt79DpUmEuUGTpnbjlseJmkM5O1mT+kQxxI1VTzTuTpaW1JvFANyVdK6XaRFl2l
vapQzMu6rF2Jrvd5G6fzPC9UgFkcnQN5K/wuzvqAkSgNiKbYS1ikls3ohpd1bvJPYWHp0kvDTHij
1ZXnWcI+pCqPLnFUNRcm7vhlVqbdlzgXfRC5KDyuy7i/hPtBzYdOyY9Z04cXmaOGT2lcWo5v2rbz
Q+6EgUGSr103DT/GZY+Xfcysc6sPe+01teXOO17j05CF2cJKLDkGiNfp8LGsBPV4mLEPFUPFdTP0
KfLyMI56nyYV7n2Z17z31TCOq6KG00I9Vzf5rG0LvTL9WC9MlkYfcanwiTvyuPRQSc0NtHs0gyfK
OkyCNq2z78gQlnmYj7T3YAEoZqmjRm+AcyQuYKMRX9WG3iQVD5qkJdgjuOenaCijyEvkmBVeWLfd
eRtFzgnqe7UkxG09nQyAdZs19WWcseJj3fTFogt5+c048SdU1Z2vMyGOAel8NpSY+ENTirNxyPrL
kDXxcUH6+iZCePzc4jHP567pndtE1faJNRY88aoK82OT9e6cJOV951bhElG7msV9OgKCPLl2U9F+
tlmSfRrSUX7CRkvq00qknyqrcAOTgocxS9cLG44BmLnc6Lks2YlRCfNzIbNFUuPhvHALemz6xjVe
MaRJ6cFY6xwlMvVGOiaxBxui5EURJv1xb5V97asoxXAXR4kXU9FnntRWExCrGmbKtKVvQhNv50V7
nGexH1m2X9LGHCvbLQI8UOcj4RY+11b9QY71dVJa/K6nKnU82+3s1KMGDo/znXJMbnidkJPcHsJT
W5PSY0kTBlxGK5c0/GwwdQWu0TbXYyaygNa2umWtLbzSjOoCh+74rTKqrjxkZb3n5qY8iZKIfIhi
Qn1WZQ7xTF4NwTi60Rm0sLZfNLWCQmWRH6a57Y8pQqOf9PVxK8to0+BY3mfGaf2mq06dNjQzykwf
xF2LPztxKJfYAgXF640ZTp2+FAFJmWk8rR0LPI7E9hpVvTWvFbJiD7ph1WWaNE3llxq5s6zt0bqD
wnToZaG0Oy/OTdIvnVj3V8qQRvhpZPB1p0PxLTW5lXmtbB3si8y4szCMhytiheJUdQXdtLRWJy4L
a+YNGsE619q4v4hQEZZeK+LGcwyxz7iL0M2ArGbNI7cdvKjFJgDiktVeI+OVykUnvXJA4tRCjlpD
90kKtyhVvrb72wpi3hUybFhFVtj48KGRHyVhs6Jp6S50RfpTSzvSd0Upbomq6XdlkTtZVs4p4l2j
/aHKBy9zk1lVJxY4uZWemT4WZy5O09PYVizxkvE2tp3Kq+xMeaTvPyi7vu6r0fYFqmO/CPPQky2L
5xIhurDl6F5WqFYzizkx9kljmmVkxess7aI5aWUY1EWNPsmKkkUSUXsO/n6bjIW4qpzG+HGVqZuI
I1hB4ro8Nkmaz+o6pNkZVSjyaVN0UEO0o6Vl+kF6LGd6AURPXcKdmweF7ZoLOaj6ruoby/acEmWQ
9hDxMWIhOQYLh8AxZeErWtLSy1KaX+ShReeZM6gVKrTj243dB0Njy1OrjrjHikItdNu3AWl7/cWp
6zjIhCq8jqdfdYO+JVWZ+iOEx9PO5FHrscbEF0RUuVc0Kg36PHb8AffNd4S7dNaiob1ObEZnHTH1
TEUinROhRIBrK7yWHWrWzOZ6YVxcgRWyPu+iBKNZMrp15BEnF75Vx9bKtCe1JLFPC/Ottkn2tepN
O4+MSO9ywdFsGG3AVYivscju61Q2K2xBuLd5mgYVhf8LKXe9gVK27KS2V3aSkaCTyJk7WqLTsbSS
WzcRFNbO2FpoWlgeacLsMtEZPnaaRM5LnVSrFhKSWVtl7hIT1cx5D5mXZRRdpE7cnchcZeBHfVkF
GllWYA+j9vtSdTPMm+JWUyN9sP1GthHy2yFmS9Phypf0bCSmXBYkTz27dJ25QvS2ssvLthWQOsgi
8UkyLmCJtrwBW5+RJIMXx0zOZTpChpHZbJbaas3L+pLbzcJtqsVo8taz89QEdlxcCUunx4kao3lR
l8KrXNvxmCwcj8TxcTNm0Twk2RnOLevKbXqzyFjrLsmQRMGI80srLS6GWsZzndvSG5VV+CwbLt2u
RUEq02zR6FIFeiyLgERKeDRu0aLo8AiLMMfnlu4dD9Z2fqOJI5djEirfpei+Cpk1o0OSezJvc8+R
JYVAlsYQD3B7aeCAkluZD9WMW3D7qcZasr4rLpnVCQjGY+x1tEW+7Zbtqs9rd5kUkeVFchTHuR4u
M0m/kpB/eP4DAS/S8FtVwjVF8e4HGX789T83Koc/D78Y8PPJ7e85/PwbdPk9/hDE374LjhXc1kOb
6Zu2XOrHZwEn2HGrLX958Zc/kam/oEuPvyvxFy++jktxKPL+HZX6eYLmTyr1OGbHpJANZzWRrWwB
DUkIQ4P/MyYF7Bi6YRgcjisgwQZe9MSkYDMhaLjAu2CPDRx79oJNMTgmFPRdAUyKwi4P2/1v2BSx
X5KpbbPhgzAGZ79jSmBzwksyZedxaYfWaJ0IHVaJO4euNjG0n+vOJUV9nNg5l5WXukLEyYI3mkl6
it0sN7Mod6EJWHtUDaSMjokbihSfFRY0/7LBs3Qc2ZDaiKyWzaJNE92Hi1RIKuUpjUxXxd4Iz4bt
MqxG+K4PNu1MNUYQFfO2j09Rl9NhTD0juAW0wTK+1TFR5MdwCiZu/RSbTA5eFYad/cUp6lD7ium6
HK6TagQ1cCZIZPiliPs2ds+l1DPzyEDyBzpCH6hJ9shT+GABaYmoqkTp/X+v+evfVvnpAdABYYMs
8NcKxI+DRf80Zuc229+MINBCuT1IY6sxYLgvdwIElL6gsw8OyYW9gNAc88D/nwSIZ6KDDZ1mcEYa
9PlBGKTC+W+8BHauvXQTAi3RIN+7FM5UI7BJhMEXPdccXEcVIlQiW2IRfTEpEG7dpGrGuP25sNh1
3VnLwm6rzyJHnwdj0Lzlw7zpu2M9cDEbrcpZYZMPsCnZHb0CGbpyW4gf9WCXAbeqwtedW38fwo4F
KuYiUKKxT60oK7/CCmJfWc7gLEZLtwHOzOiDNiDnoVX0szbiV0knxYUZZZAKnZ8URhr4tBbYl6mq
WWM5TjAYUh/buvarLj8fGod6pSbaS7J+VTd8vKRNSAPFDffRYNobR7rgEEMfrmIJDI9Y6NKMmEK0
iz4xkkvIZ0224HkWn2lbopMEg022XcgLxJp6Ri1WXQjMZ0RmH9t+8FrcA/erGF3mvNuoFiVehzsT
1KTsv8nCjU5SQ0YPu6PyyqxiC2Av9qwmNV+YYmh8Q7J+lmF8p5MeQ2oJ3FemjHghbzdON8DaoLvj
xE3zeS4rE0COKRejLiJgYK5nYl5c5VUz19kwhxB+Hg5JNmutql+WGChYzxW6cksn+6w7Wn6iXTLP
XXM5Ip1fpVSIU5mJuvUSARmVH7bZWV3iyMwc0dl+VVTp53ZU8jLFMVnhxtI+xkVvvDLq6usKQ6oH
m1noCUmHkXtWTutlpFl1GsalXMPvtJjPoLw0dy5l7sc+xymEe9WagCkuTuPOzWcNcMpV1WbikhuT
ekWG08jLnI4uNRblFy4TzvyEd9nHIi3oCc1id2E7GVqTYrS5N6JMpfPILutTXjkiKCVGMHmu0yIv
bqvKa5yyOK6bMEwgvbGL48oaW2AAouCg/WSpsTwEx8mvba3UySAwmjuGJ1+501ks6MOomFFHhh8T
J1PXAof5rM+lukapQmvMenVCTOKeRn2ffC3L0JKei4BNbpM3NM8Tq5/pLVEaaCfXrU6jwmsj0s+A
+QB+Jq+XWBtgU1R2Q1BXgmwqG2cfBznY3+qW45WFcZv4Efw+1DKqFbwn7voLmEDL74AyjMD5bHTT
KVoc9xo+kjvt0AZ2EQ0XTgS3Jm3DIV3SpoOLr4ZouOKZDTbmyu6vUtaqk0ZRlvp4ABxKkcEHIt3H
1QxCWjEbunwIep2XX2Lwv4Vk0Kfn9SDoBWEvG+bxWGcfS1TI9VCR5k5ClFugFpf3tK/7i7BV5fmD
ZUmYlGIOCSV8fAbNM5cgGQI/ozVlPg5jcUl6uAeJpfPvWR4TkOyK9qZJiIGANzDmy+2Fa5wPV0NL
9Qfe5/DGLEycFe1gEQkEVsPMdptukRiSfH240xKq4dvGCPJYD4H+eCJ7ILVw/LQ6N6Ubx14cJa1P
xyr7SFzjfDKFJdVM54Rf1jQiK5WG/RXqjQrqGoiUE7WcLMsOQG1bUhxb+QioOaEp5yDF6DvNY7ku
gGKeC8SGkypEzlUI6t2Vqax8FsMdCcKHS8OvrgPigaF5LL0i7OGDOgHfyIcinWdRbF2rseoWI0vU
dRVV7kJl2gUlE9ACoU1dy2gA1t6kYaF9pDvhqwRmbuCEnqKqIaHHRBZ3AYvg41szRD7PerjrR/iX
FOKLqMngO5WSfpOM66aI1101XLRWc9NVkYKcW30tpPCinA3Ass8c3Z7bJrqItwpKpuNlntTfqXFP
XKwyT1uuXzj8qm/wHHfxQrPxY1Q3LKB2L04ZSIReGYI23VjAXAflC6dQVxriWOs5WLULJBG7ImXy
oUEJWrMO1vAUiShgvMQ+4gUBBj+sZQ+aU58ETaiOccHDCwSC+DnqnWQuVDQkkD2xeMFUmnjC7QiI
Ymnu8bKql12Xlb4WaRUHVo3uClD/usq5r4pOnVSxLE+SsW1mhZOjFXbobY30shD0EsJk5qegv5w7
VRR+sSLnc2OJ26FVuTcWTT4HoVR7+VB0MyvHQ5AAw0o9p3Y6v2RMXbfwmziglybjXd6B4jTGhUfH
uAGK2V8XSVseuzxd4EQD3aUjACwZmvdVG3qJGdLTlKEPbAACx91qlfZDvrIhqV0aWIQDW7TlrC/S
EDSt9riMxnJuKfWlslvi9YWyT4fU5sc13PiLZGB2QLvwi43yyrfyygOu/h0P5VUpBb+XDpdLYir7
K2eWClCa3mjUJJsB1McZ+HrjSVwJ326LxgsbV28zX1J53TjCeoC7bBklI0be9qBQf1SB44bXVd7c
xYMOZ3YhhnUf16ac4QjouA86BND3Yqzb2dg5xalCbA26enoJt1U9s1mILvA4kBmoYIUCYd1KlmmR
lgFprM5rkFPeN9RJZ2PurIZcpR4uy02bKSeoROMGCeo+2yGUIWwF0d51KroAVfwWDo39UsV4YQ9V
+MGgcvAwTjuPYpP6ilDrrCb0QzgUts/ADUGRLaLPIoE4XDQY+L0tTo1ooxkkCeKOcNpdcSrRh3So
tjkEd7HfEDYcGx0a6nVOKHo/6pIPCW9TkBYI8EKQUu91XWfHbp1zD8o6YaA6q5tDTDfztIGxUY5B
2dD2moeJuoTDiEAbjyvIrLBFPVPWYl12pfla2EP2FfgyXjNNlE8hw/JqBlp3Bl4EK7mWLffjgkIB
I82F67E+iU67XqfouHFC1HtxM7K141btXEQVSJBaRB81661zhmpQALHTVwCisv2wjqxZlybtKac1
gTumCCNPVVBp8MhoIAz2rVor2N19TGgezsKK5rOwqcKPbiX1lQG1OJmNTVVAVcotrLWOBF1BppAu
kK2qmeyz0IcChSKzuO6/F7njnKM80h9MLc2yjHn1iVVaeRmshUE0urFvuGkCi5Sgq/BxleaQheVd
Zx3bChawEjnVUoW08ctaJ34SDuFcSSTArKxaDCT7xhuoRzR1aM5TZtlndVjU8wyrelGBnOO3Jg19
yBnOepXMiWUtIidifibGL0ldqzJIii7ze1PV/oigeiDjJpvnxAYOVqdkMarxrJfxsKgVqKag2+I5
zZruYkwhx0s71UDk6sT5YKrsukoasxQ4tb5g7a5RUTb3Zks4KzbouVuyaN5mIKJauIKiWS1lAJQN
XBy6Sb1O2FcQQdV5wfvWK7eKamMbCqWJftGbPgoaPF4PDPN1Lx3kaSGSxVCgBTOy8TMEklynovuq
HxZYQ8jrKpXNOpm0s97u++OtQOe3IH+vTBWeyqi6IiGlAQ9FshpG1p+EiYhdHSRWnKIZw+OVm8Lq
ik54azHZzZIyzlC5SEFUhlIPS6oAXLgxUN9oDBSzPNeyIggJUWVD8cy1oyH3ucmGftVD/jueUkhV
Uj+J8pTOhibpgl6UTuLRNu2TzIO43aogZxIk/Cbq4uE2TgUUwTyGQ+Ust2WnPieXFsj787xwWz8i
rbkO+TjO0DA26yihap50lJxpOn6uRixnY8mupKssPxm1vordwgkylybnFS/pt6ZXg584xfgNNUif
mZxboAF393U0ODNDne5MdB0OoAOHHBOQ42H1i5sL12TOqeGsuoogVZk5YYuDweJfoRMn9Kq8TTZG
R4MvrRoqQEUYHueWZF6U2LafVg3U1TrZ+2EpYgiVZbboNZELW7g3LshqHk3JyYgh0c6y5I47pvNI
lddrhlI/U+Q2zpwmCLV0j4cIqrizBG2T/mio9TebGH3HU5qcGlM0kMc3ZIlB1ljViXttd61rexXk
MlaQdjpdjWMoGkgSyHBKZG1dllk+fspqOztr4vwWCGiUz5RTtaVn/i9757YcNZKF6ydShKSUlNJt
VblsY2xoY9zAjQIw6CylMnV++v2lTc/gcofZc733xUwHjdtK5WHlWv9hadjCq7VNu0PR5t/7puHW
d/rmQU6RjVnpMBzHtpiO2nP1Z9KX6IwvKi23A7TJnhzoVhRl+E6UW2Z2ng/2ioW6P8h146SN7Xwf
jSDBvRLt262eYrXv1wHAu+1hbrZY5N/a3rjZLi2L5dh4OVeBm2gJeF3EHXlAncQPceYSOKYs9G7B
YeO/By3VZ1DO9tuWd67aTakIHEK+hNMcYVjvWpL+s9Db4qu0G7oj4M9yFnvbZbGmLZwPRVZXbNVN
kY3zZ2/YvEPUSwGd1ObFXpfl3O18Hv6uz0hKyi7OKXyLZLhDCa6z9Gzo+nYT3Y7sedjW/VLAl1cH
YYZxp3sz/cxN01xIMRQXugcjXpz2R7Vsxc6sqaR8NG8rDXaqMh3fRo07vQfQVLeiTLZDBZC028rA
2YWAsmc6FcWhTOL0DQP7SOEHpZXArjplE1/WkZPp/4/6PME0f9Cd2G7zr4E+/zQq/Q3zefwv/kFK
ffqjWMlzQg8uF5nCfyAfbB307qbtBiCpj/IjAp35hfhg6hAB7boCSVsVHGwhaO0v2UnIX4UARTEN
8fC18Xmy/wUCEs9VJ3Y4dG4PA5qHkbnRPocH/Y4AxXJam2Z0gx+5u6mSYmxLhXuYZ9/ph8MwlP56
X9Z8QfhoVlE3e2PgXL4vaa3atx7XVO8flRPAoFV97HA82yR10xx8FCzpo3Ybp1z34CHRFu2KdMkm
algx9cG0F/W4buLAzWRICqRUUu8o6J0ZTcuY6rO6HLMB7nNNCri7bXTD+FyYDNpttxBSEk1isThx
emyn0pAvrCZHk4DI7T/o3b+IcrznMDIwG6IcPtER87+Q1pCns9OZyOsGs4U/lJmnpN41mcxJ/Qnt
orpOspCkZ794Rdv87CNdrHf2M38Mzc9HzfsAiGXLE2Px9FGRfxmS/2JI5JpIhFCwhFY26J0smCz9
pemMzh682g2raxUUWfVmC8YeKCDnkgZOAdzOAaMQVsTjrioXVcld6aqu+totZgUekWPolG9qdzJu
fral2TYeNqpGaqMBIma7z3WUAmNEW9VHNxsENj8GLm7CfudmZgR+en2eAVHVf6VPgKFMMii99f15
fHIv8Z9vwjSvlsKp6vaHOztr9CFsC6e7beq0296//qDneKd9EKovZBVwE3wah+c9f9BaN31CmpM+
2Eag4OmqTqsAmtXlW5yLkGXwbgYdEflujcIa1Et5mZxuqyJsy5+vj8Qiq89fmV4ukAZguEKCwdop
+U3t5YlsdZOljB4mE+voJlRrOQw73Ti06nmTmWgLoz9Mst0Yz59IMKGZNkI2OgESkp4/0S/aulJF
6D8sXmaK4Ie/1jLPL1NF+fUmI+nntes1Gsfk7PVX9V6+awJF5FrXB1MPPPX8yWXXedU8+c2DqSkj
5EWRpO3HGqK2h5+VWZqpd0uypW7ztit0G7ln4ZRX231ppFJi19REDrLjMm2Sv8oyotPhPp9av34L
I6/j9WKcgwBU7fVBv9iS8Fqx/UQMVBRuhEeC6bf1cTyozq6W4ns99haL6lflTBXpOUqu+Q8r8/JZ
bHxMfJHr02EBC+bz+REo4XRSVub7QpUfb7tS1vF0m/pOwZZ4/bVebAIMnMgeYcf4nof3yAI+23YU
t/7iu+33doVXEjsUVVX5c/JWJ/zUdU3UiUPaTN2Q/uG53st3THhBP+JLpsglMcQ/f8cUAeaidOh8
20J0INs+oboezV7GKtfu3hNktvUFx6SSX9e8zpbu0GutE7VvnMWf7opmm3ULZbZsw7es9aD0RBv5
61XYrKhaDn+Ypfh0yzJAGT4ufGK/A3S6ZeHylEbw133L4wLeBJx8Hbb3Jlo067OtVDYTtLwy0Y0j
0oL9Ydog4DJoo3UlWCZVkK3fWcum/BkZ+3kBrr+g2mb0TkFX/nwKwEGqiC7U2Fn0yWRJAt03NbJi
0cGbDKvTalD14dAKD8EOUp7UhmjH5DkP9NcF+BzEfVg+b6tNIXb9sqXMhV+WgiDvbkXUl0c/6EN2
bJ/PxfJeRUHZ/IhmcFlvJ4bUbO/Z0En4CVECJ05vXckYPVUmLRhqO3qfKtOpsj0bo6Xe7rdByOlu
0n003ZqSfzPv8rbkTFj1Qsea+Tn1c79r0DhV1FZCOQQVSo2Ol+ncssyz45q3URvuDNpTfjLyipQf
KSJpGgiSacmHv4ZZNlxma7+UhGCjgzJbz8os4dFOgbAEjlXM9mlOtqroRiRV0X/uIWGnizSY+uK6
DgCkzmcPJd1V3jvr+Ab9y8JeWuLUnuUCoch6FU8m57J0qaf4Rx+nPkFExf1gfPCiVlXVxa8XCIHu
eNUWj25UHlyIZSY0dFu2n1kyGzDrRiI8PesNEojmrJBqbcq9UVWp//kdPWJafSaKNCxycNG4m5ed
QMjLHIwCOaq+WFROIF5FxztlT7MaVNXMzIWxGvmBeR7y6k1b69Gpkasm9oloxcjaVpVGTItaZc/r
EbrsdumSgVtLVF3LpinTqGxu2yEEyjqWgi+VRDsVlj5namqThF2T+bpmzcTi8gsxG3upPA7ZUMXi
jRMsxUrtt0zMYbdMJc+nU0zspR9itCrMySZHFGSXadROVYE8GDNMDE63ABEcVrSa9iVKgI/luhfp
BIXVOdQvORLYiShwpjcx8TKdn9r9q0Uf8KcsFr2Y3oDxB/yWbu0CjsJYYmEvWflBEo010mKGtPL2
/Mt5LO1YgiTnq2z7SEqO4Br3FTtFbJh4L6DaBcMrmyK2eRske1XcGEQM4adiDPjDPhGrZFglwkze
EVqRGRxRJjGdWyztnqtJAYMLeH/EKDBQkd2iNrWe7lTc8v+9F9ccYFkOxAZSx40sI5gLzvmq180G
j7wiEUOTqu2Rhpzgl6KA8liJ0JA3AqUppFZ3EhiEWcg7qcx6MS2uKZvrqbamIMRuSGHrPUX1aHe1
KAo9HFSVbF54scQ1XMyhdO+SPCzQcnt8fNpGprwGoT5GrnMMK2RP4jhUaxa4B/Z2nR+yyVXb+3Bd
F7Z/bGI/Cs7QOtYgc/06d9EN/U2mSu9yd6h7INS0FMW7zsuL1OzI1e0KAwOsLlQaZ3lyLgvjWi3D
okH4zH6pjXHmqyo1sAEXqWNYmz6Iiy7kWzxey8sgDEVT/yFp+jRo0Xh3yRLvUYwGM7Qm6pwSWk1k
5drvMzV2SQJYGcXLtEv9CJoiFeUYorONK8Js9H2bQycA/fLQPG3HpETqWuQ7nS95nr2tOvRM8mZY
EmM3T1HakCKHee3VsVpTuy/dcQHt3VNi91V21YH98Xe9P43au9lCQagE9GSWDg3iTuTgi+t4Y39j
5sgn5JZtP7JKrQfbn591a4NqeJ/0ro2CI5PPznULlQ7T0R3UzE9SwoCB7Aad2rhUuVOz/JUMpc0I
82DMCE8qWCLmb8gdosPELHIWPH8wbKipR33bXbL6/RpexWvGTo9rszHwfHFGHh149cL4CZdcR9Oq
JLd8k4aKkxcHtb1kh2Hs2Y5LFBaAZTLWK/FhjXMneLe4q1bZjhAVwob1Q8srxcj29Q543mYrrjNX
6/cm7qlGftUhRH07OXPXiy45r5Co9clZlpfg3JdjuW0aBU0sskOfzm16Frhj2n9I+4WXLzou//UM
9lsyYlnOcODHrsklB7scN9Lpi7gY7Qz+2tZNARZHkAk6wcbdisUmzlHn2HAPicOl5TnsSoFkTyd6
3pH1Zi7n08kKTm4QoyP0INM9qW78grB7MEmlB2cnN2+NvjjtXOsPbrPUd4nvJ4iYte6L/k3Uqgmr
RDeN6rtquGOudNY4wXXKSAXfAVRF/6Ug5m7HSqIEfgjKetO3TRc1+usMez2/Q+Ffu7vZqYfuSokQ
TSdWgTYJgcACEZjxOM9hPN3oPk+XDpmo23hvRc21epbGw+Tte9ZIE+SXuN8QULeTDiAklmqySeqm
57XeBXKt/WSntLMOnxOEycGHqB7WINuXfVAtzi5BNZpC2SW8f8o+TbPhcsi5yeq93BBkbIekqDdX
H1N/m7urhcOBPnRAYgsDrY5TIjNxCEnQtrus9POOiy8a5BuzrmO8E8Hge/vVI8IhacwGiBun82UJ
si99jTCpzi7oezEc+s6dt6s0aV333Ju93D+makHKuhtkvRX7PBWh815hLgg+jgaZb3fuKrmq/iyB
I13ulmERw7Vjhta5DZzAbPdDy67ehTqK9MdN4saAYRgiqdV5vITZtuzcSarokCyweOdpgfoCAUUQ
N90uqTrh53up4TTib15Txu0DTpduWg5VNKz9j6QMxTjuR6k6CaVpwsE9H9K2D2P8AW5YR+cpEuTo
BkGAU1XnU6RIa/MfedxCBHj7Lq5GH/ItHADbgdcH4WQ32udlSgj+x+wb6ieNvFuoog6Ty9wV9kJV
jWhU+HFeQ6WCg0pnnU7kU25GjrJOlqsyqTtzYPSy2lyzdXRJBqXFMtlrJSGQcLh7vCjctVzgHAcM
NTbCNUiDCCWFs6ZeeizXes4gN4RRc3y1AXGSkoZ5P3H1hDlUMJBQG2b+dr5Kye88jmFns7/IVLZy
kKW3Mdo1mJo6OR/7pog+ha2hT9q5hzq/Ss4zZwBrUGMfEiZDY8jsYywtyj9HnUQWPLvkbs4+WWdF
LCvjwl4aqYMVgDu8MaF7husl2sQFQqqalKj1qfidS+SmLi9KXgKhB8naaBsQm9rnjp5jrFTz5bwm
AxOkWmlvzrifF0aqs1zy7FFusts+TEHY83ddmiz8MhfTD2fJhJ1m/CYpbZysAlnzI37pJYwIIbzx
9NdEJzZfTdKJaAOBrqNv84zB5hj5pWzfZl05cS0OStlcqlXSpiyQLHaOsAxHg/cTOn6tIL1rzwqc
uA/BDWC004W5TVwdMv3E8NWmSI9wT2Qae0v9usECr2Meq861iEWE/YPRewIdlbNXWVAm3fmKkhls
b3SYWMJMaUcwGjie6uKfmdh6jtBuVGIjI5Vtzm/smiFqAhj6dsVNRUJkt2Lhkgfchs2Shp9q7YE9
PS0jF6bn3VP+jcNd3KcLbyzK1mONRjNJT9+0WTWhLN/m0k1xjVUyLKuLHC6smS/REkXT3SZp1JXv
vA1NzXKm8crgH1Bua5MKd8BBM+9mf7U1cRz1bJYGvM7D2TO7Wg64JHyylMxPbTY/dUrr8MJVmZni
99uQ+13xNkqly3jWLbDnQAjt8qpTRZJ5V5vAHpG+6S3g1ZY9P5BOgU3UvJrSuOihN9qdSMei92ET
ZU2enT3drvmEncvZjx1UFeIWocgCcaPZfHOI7H5M67Iks0ahQ6mdbrLlD/x7+9NkJXp7P9ex5Lr0
csbl7/Nc2tQQqU5mk3mh7Gifjkc1wErd1ePcsajaEPiatwJ2PvsyxXNW6IvQkxXKqQavA9u0WMkJ
oDqRnLHgdYut67qZvWwaDlltYm98wy9oBEnt3K2s7ehMDc+Ct+cVXDUVFoPxbGqdTJCbt5lMCv11
0mMhmp2pRjUQXBDhibfB7A2ovNLQZ581rm+LwFKFVGyuBwXCMQoS0ksKT9Z5WMNtvRKzT/1El7B1
mc4XX/TV1yn3FiYlfcp8TOZO5BqmizVviyikIjH4VRHHW5uQGCxZ5lJ9tVkv+BOuC4Dj1XGc5buY
xn577zoTtJvIVU45MuU6Q3QeR0qMd9FWCwRVzuwx/06e2KJbRrHNwvQCSb6hxtA2kc+whE13qUkz
Vm1oAHQ7WEtnS5AoTWFLjpKE3XbPrNuIu3k9Ne8l9GI7G1s/sJ2ikMcD7aFY4NcqYnJ0oWS4DPkZ
HC9b/8KLPcjOtYrJo56OHky0Ta1qp0naBo1hVxs8CBOOFzZGO1tYzEnFarekdOO5fedibGl7JmSz
FXcImchEzp60R5xqOVPXUVQFJK8rzO15mrfL+Fe0yM1cxjiG6ovY+NQUXGxOQH4glgEH2jGqq45f
kwSDJlaVfWszUb/1ieL7+alqXKoMn+ZlX04eQYqEf4z2BkDOr8+SbLJV4FNhUaebHXS3LVaixClb
CwV5vVHxBlNcstEpklx2/5y3LUtaeFgSq4sR0SFU5JKPEI1nztIG1bVUgCP84Layo1a/sgFrYBmd
fL9UpijaXeQUZoMZyFEifBXdYiv09SlyJIuxiW7jVXZXvo4a/QtmxDc+6XMPoSMRv5/AnPHSxXOa
1PO3JR1snTnlTp2HByfAhZvszKh53z888hRVA6biA+9hYOE82zjHf46qraptY3eIhm9YyCx787Q1
6hi/6J/e7uWj0CST4wpLGEFNnYCUfp6pbQKd+FYEqY1PHR2WkFUtBGti1+sz+YgG/o5Ve8DUEpOY
L+m6/ZKVMq5nahyZ4tsimpFCZswbn50YDkHOMcx143EXblFH0BjbIDSAKFPdx/VeDT51NyiEZTYS
Sl4be54i8y/uo9WZLRFaGRruBHj8mT+9PvwXU2XbfpHY4imnHPetZvx3kHXRaTOg0w+/YkVaGAcX
lC0LuVwpoV5/1Is9h1ScDwCGEUyQT4P4k1UhjSp8lNrqa5LHYlwv0jUu53tvk/aIRCmGqj9tuVMK
xX6CA0O5j7UKsJrPoTx/OUhstOJwBV9VkNsYNaAL3d7jIrQXhJ/YOytNyPdJJlb+/KP2pavfEe2a
8PL1dz+dZtuRBtu8ZVU5bgi0no9kbodlmpNMfAGToHRc8xyUComvLedff9LpLNP5xuVthSt5GuDY
CXhdkRjGAsniF+RqsroeVG1L86KkUruYct9mja8/kOZxz7gaH4sMsDMkbwjDB3z0/NWGMt4IJqv+
opH1soO0SG2YIygic0e11dcLSmekoXmyR/SRczO+PoDgxeRGbOLExWyAvoVXP40sQWaVPrL90ufu
iiAaLmurzkA98qQ8f0pbJp3b1Ji+uDZ+/wLFnRDJhDjD1thyL8xPk9OUGPDAq0Jn5RR3AWJSAeMY
t1wJppqfBL2DE8+7wqsGorWcQ3tZ0nYAOdMhT7Ht5ju+umjx10GOgEferJe5IH0DojuLSeb94bKA
Wo63Q1c5Nrcyk7Fpl6N9SRVjit5e55EqyG2kEfaKV0orhiWfAHpDak/UrCrfJk1lPDxmfL5nk+W0
bEoiiWuymfmPs1KDTPrTMlmQpa2AZV+f/hcbTgY+/ii8UwmtKl5s7ZHKInfcbf3c5b0gZ80UssPu
kGyDzQB+QdavP9Kelt9Drg21fBsRjiZGCyCt4uD3oAXntA69iefPSRZZjHEskqi6xoXiV84NplJG
sAvqZKSIWrzUJoU0arCjeX0Yp28u+AKGS+SMEl4b4v3kEm2jHqeHP+Sfqw748w22/aH56Fezr9/6
ZuDLL6/x+6ebnIYboRQgRZH99mAQnmzyyHMznCDGfJl6VW73YSnttihLZTOr1x9l+0H+Pr/8dnoS
IgKLJMybEO7Ji2Xz4tZ1O/kfWzO4yOmBL2l2gTm2oNItShzvYgfh3fAPCWDDvlxCkdxTrIUaLzqw
LhAMJY/l79UsavJQbwtsol5kVCi5JAh8z7syt7DW4lgYIB4iGi5cTjHuT2rXBnbkbnI8wcs5Vchd
lGVIEAkrE6JMqioPHV5/6TjE0fqIujgL+ATS/zDfzEFCCedyTgNJl9nTOQjDbEiaaFw+jk1pb+a0
g6qodjhuqZxff5R1Uj2fbwJYKCMEFzR7JI6e7Oe5U2CqXpDexUH3+KwxBDqtpt6m+iOhnhD0xL3X
iHSYhXZpLUr66096Gi1C4MwukxsG0uKZ1IKKSOc3OInnSwfZrLO9NRzVCAZL4c09X8VIwXRWofuj
aETBRlnyi/iDLbIkklOXPmdni92Nv5u6xi74FpY8xXlk4uUTNDF5IKDDwQlzu5KlR9Yy7+RE4MeZ
qwsLLP+i0DiR7N0SzoN7L01BOQQdKZoZCOT1KY2fHxfaMiKEt81x+EoAd2F4unw9b4A8VaXf60nI
T6VuQ+zW0KMXURWrAIw/H444XRIsNUWdHlSQtheNX9X3U2ZbEbTx2EKaZgKZ6Ir8MMqH/mNK/Wre
14uZ8n0eT/5FkZR/NVBt3ycVGHo1aCdf93A50bspTLur3C3MNTdSvlGt50jrHFOKvzd45OlNqucS
D1hNM64DqGF1jwGUZi9DveTz3iT6fcCthF+9dsS1XDVtbhR2ZC9hhGh9gzd17cMSlGoAzuvojlDu
B6/+gg4ABeSS4aEZt971DkJpeedzP39VOc5uunpEORBGZsy5X7bt3SzFeF8Igfw2dp2gPTjgdp+r
MTEPtaP0hyjgu7dgU+NFuYzlEZpgVUjmIZdRHyeFsxuDZnpTt3hT5mQCsMnL8u8xjiJQ83SsDsOs
u7uNvjIH0k96QLSOE+zdyP0rGLAQ+etgvnhyCz7mYzju8yVqrippCmxra8HHtf/vzzMbgvTLqtPI
VOCDXojHxtAkXRXo5gEFOPWcoOULOk3hoQd7/UGPQqv/3k6PT6LJrm0L+fjF69PaavGbyp+Qqzx4
c8dWEj5RdNdRBxSHJa/lLZ6O9LYwKS0y3DpM1EFMisYkUxFi6KoH1FBo2KJ3OtLJm9bp5UeuIUP6
MNbDfdNwp/tD26idP3jBXy7Nj342o4jftqCWf02YFP9OSso3TGOeq/ZZlb0TjTUUObKJADUqKCpv
TsCbdLI+lF02gLCP+uhlofvVXQax36ir/qcU4XFGHmefNC3wSdJO7hOaSVSyD7P2gbOyvE/8tK3O
orobSo6MG318ff6fB9Onh0lEijbFIn8+zQbTLSCt1kn7QHOHBn3W4t6havfNrmmq6ykQI7V31jV/
Qc/K6g+58IkIj4fbNIA0iA0guKNPUwLPkWYJ4nV7CFAaK9JekZ+Lrqwvlm352npJ/Vk4yXIY/QzS
o9dOdBG0a9geXp+C0E7osy0orVgzQA/CZ9W5xk8uFK9KG+iDXD5kI8QBcJqudktMG4qDgSUZDlPQ
LBf0cUK2Xziqge3p6G8FbnU9qWgacDlkzrvNy9BlbyvAmU6TL00Bnr7XlXNdrK18u4r1vBWNuAMD
rd91DrtzF0GMrfttWKBdys6ke6kSeUvaOHXHOSh+rlFZ3AipivMKpPiiyLDgNeFQD4cuNeO3tc5H
XOh+9ZfTIqjGK+LNR+EP87gTtEu4Q0Odl3QtcXmBfPGS3TRkUACy7EuIEO7ED1hncIvma/C3B6qd
7iAd6H70+uTauTud2wB0AWcz1az07c3zm9pqBBJm3WX60BdBeOP0orzH07muh6pv6XeDKPtPJZ33
XPjKruKDUVZ1ix5JIME77RBAg4NaN1ydP0pVBm+AzZxml46rcwVQWR4hIgYifZjpByXc+r7IluFt
USTuX86UiOPrb/9yh9uPVyHLQhwV+fIFciR8uLZqmasfdEfAb5nMSfkNHYE19vKVdLJ2+bCZMb2M
WufbOpVziz5xUs0fFuHfpiS2IlcOeJwEVJ/PVwEtjmnMJusfKW7A8UBzqfV9tI15jVk4Go4uHQ3u
et2OxzXK0zOVpMvnPNaTusBv5N39YU7+ZUvgjwe9ZHMijDvVhG40aJu6pSp/ZNKNPtDVy9z6NU1Y
JNDhFVfMeDPW/fBGBW1zWS/Cux5aGjnsZD0s7wuZx0he23l6Wzij+Ik2uw93cV9UH14fZfQyKFAk
EHz5RLZEQ30q49RzE5o4Y5GyBWoIxKVLv3R6w5BJY6KQnkN+BTbVdDhHhxCU91Dm+MVpc1QcQLiS
ZA9V3eQH3UXyUzHgMwS0h/xoHZNfV1FhLnohlptozLPLLJRZsOvoITjjFvD8HGzapSmM9mKcls0W
qnNcf+pYVoNzTQeOiR+YpfP2cRnXZSYRKcNC0WSHvGvfeUX1ln55iBcc0WDdqfsaG9c0l7Dv0NX3
4QSoQBZpPgz+Qgu6phZ6pyVCJ+s3o6NVBF77XiQFrXUkEs8FLhpGcIhqGl8ZVCvXs0qM2XWFilBE
x36H6TKWM13EoszHptEVn3CADD+DwqdFmJlK/LKvr4734tqSEQrOkCOOZpqi8mRDT026NkkfjD9A
vfvsI7cb5jGQRLz7xp1u/Giq4JQwy8WHWIfdzxxzOabd1FfzuZCduQ+TOnvryrn66Gt6P+1HboGj
LnXNYchKuced4/wa9a+uL++fwt5Ta8jv/w/2pPn+ewfXf9rdPvX3JOr/J/t80d3zpCnqf90WvsWu
fpktIrrIgNBZ4IQwRiAlqjz117Bmi5D+MlipBKXtow3jN7MFFZyIbBsbH0Dil9PCo20vNmBaw7B/
+IgQJf0/TXeerSINTX/9+fcGn0I8u+OenBYIBFFCo/cWSPyeR9fao2Dy5ir8gW7OYly+Ciz69MSz
heGoqq+Bo0NzbPvVrMGBYxfmy97pUhfFq7a8eOcvlXyDrovoXCVO21/MSVOb6zpsFK0pu2oJ1bew
QtGAODKK6lLsM+5B74fE6jbe1vki669xHFLCkWXATWVRYctF0mjDUAIV6uZd7rnDjB+zDnWldh3G
9YZma2vPkLOmAWj1G4EszjETRsg/5HonIAmQQIJEPOQjqBHL9wI5l15TjFTT8Q/QLljYC8z5dXBR
B5PR8mIzGVJNOFNVFz9rNy389E8XsX+yRomU6Ot9+rIIVorBPF+jrRSxidyoeCi9ylI4QyesLD5J
sMOUqCvmDAmEpkspcKQTOHTIeg/9aTFZL9iiWbwZorw1Fe0u0Pd5N0kY9/zdb9v+XzbS84vxycMA
0s8XlCzF8ELHv+SF4+daOA+RoyfXxzgrM9kf6zgYhPsoGY6+VCEY4R/K/5O1sd4JGilJYiS3MRnT
ydyoce1k54j4ARlZTSsIBIO1+ZQHqd9mu7ksxuJdm8J0olnLO9//E6lyyju4NkcjJwE7wjjBGXq+
NBndNBx3ycWDI2vZC1zR4KdfOUjOcNlthaxvCof67FpUPS3q4H9cWorRl71mUl5fgJcjARGP6G9F
Px34vtNaFKQNRn919UMQzRy54+pFGIaPoZ5HE5wVcRpEX/TIFNCHBBVq9KVz10kn2HDxI85/WJVT
vNRmR3jEQswVlpQ5rczoXOWWK3jTdwyXbajPu15x6505aWOS9XyN9cIWef39vZNIJu3XufDH2INK
oihOS88s2TBgqcH5lhckBM4F5I49EM3S5abDZl0Gm+3kYFZf7RYqFSYiLNx8/NCoCD1E6yB2ReiZ
NxpxKfoa/7aZitZ8e32Yzy//QAJSu1RsAZoHYjj1/PMNM85pjMJjW74tetBsAheFFuvjLjOCMnSp
YnI+KNIze2iGubP/oD/n+If1eTFZULS2qgHQJp0NCG3PhxH3wNaribpvbR1aSU5J9ALKQyqLDuJK
IMOsvpps1NXXXyyJVo22Mkfa24KN9jnR1kb+R/SwpY3sdBUsleqaP4QV73RbW84VuJSvfMLIhdEp
lbiIuVUJ3tVvBkkt9CoKZlWP7/ttKGg4OferpblAPB6V2vTdBAmNaVfofECOkF4Cr9Vltm82Gjde
oYhsYQbahFYPw34MURTeRk2Sbc3eF1DwwC0YA732jbslVqhSFalVjLy+/iflDJEKHgO7UYS6k85W
bNbnM8/ObPupndQXGXZhGe6VC6HZA5GO1qMHR/poTlifomc9BvwdSgHCifJSWyov8yCi/jjOaOL/
dIaC0ygODk4yArtny0/O7sm2qJAq0J64U1+U5hT1Z8JUcXDte7lAGmNo3N3vngRlTb6sq9yNtNfo
8TmjrYlus35LnQvd0EXyXjsjjHdcRDZBWJ6kd9UY2uXpjLBK2SeFoNIlsuWtjipLZNW1vbQKZp8F
6trEIuToSVD8xM1CHr8TYUlrj53ZXCviUKER5hhJVF7+vlqyggSjf3x8EmfWDRF3iyXIOpIHRl44
rc0NBhU2+OpM1FKWJJP2pg+B6LbhrdZVqvG4N9pv9k4GsHIBbjxnn9u4TYP7yZ0svy8prNAro6Qj
RXl9b5xGTWafQhpBw2NX9xeErqANSOYlqv6yeQ1eyt0C+KCs3LLs6ksx9jOB4vUnnkYjoA3Muh73
toet9MUTjXZxmzRi/iy20W7GGZCX8OcbBFv9MZr6MPqCpn5jE9JSYTDZNfUmmNsfTrlNZ9V/kRay
XD5XhjqF1otgai8hW4wWY+8kUXPfUDgPaM47vKA/uj634vG8Mq2Hs1x2xXu4EUs5qDzsMrwYgz91
OxQocz3tBj/rr+o0jj4seNdiOlTMHuz/EDtuse/DjQ5ZbCIXKN0NUhC7AEWrPexQGdNtN+VkF5ep
LVNt150gpO0O973t11Jp1FHnr0/8aVzDJ0157tu3piYARTwBSqsItdPcG/lxGulll5yFGsXtlU8v
BPZtQJIVXOTevLBtl4qutf0uGx4zW1QVdkvTi2v20w/pQqWO8rMvNvjYQvngRWd0ZUSqcuzrSVnx
V7hWnLqUbtBsWG+lJr/X0rN6o9dfyf8/7J3Jctw4m7VvpaP3/ILzsOgNmaPmwVLZ3jAs28WZBMEJ
5NX3A6er/7Lra1fUv+5NKUqWlEkmAALve85zfqxd6U5lSL8d3xnKn3/THubQ3uDUau2XcMwd5tYo
Mv0GRsPRTpXLPIZlqIWTKR4ApjhrpV5SpOh50Bg5HGEQ5J7+FhoazK8glLG1FGDC+dbF8PFdkJ87
+hJXAFHDoTIC6RwENR9nSFaeF1zu31zaT7tM3SIkJsXWGiMTW/rPNSjKnFZQT936AklIr1TjN7PZ
hhK8+zyaYWVT+4KxsL0G6F5Y3Bqj0yJTuhzaN7A1vkVXNXKMaXlhl6qFSpDdHEafM6Pr/B1nccQQ
w1Si+9nDxLJ5Kjjus6zRmtSrYDGmJv/HGcviVjSZi6p0hPVFW9WrMS9geYts7fq53B+9FFaffn0T
fpqjuh3N7iqw6RhbkHt/3upaywZpyO+Nd7gBO1aHy/bWxvw4w20LkWK1f7cs/PQ40i/pUiixTR5L
Jh34nx5HWuzs+kIF74bJYoSM66jRcjz7uT9uKdzO26eLgYQKOrGj3Wr1TMPhU8Oix11Ci1GPD4E/
hGl5SEcX9+rIhJyfJGk4PAEag4k/qpYH1fePLeuXlluJhVFrQJhF+uPIqIFy642ysPgSrWU0P5kd
bvfi6FUVzyZE+Pqc+uu7jbrkxzWRiyfaQ7elLQu91l9OVGwHByMz1fouz1cf4vM4VQ6aj8VMyzvf
3ly57vtc+oCWfzCBmDUESPqNf/F/gItX2WezqM3Tkk6uv/vfTCDujCt22/298cOUVrRrW4mHoFTj
9DfGD2V4pVsefrB8mMoCtXL8hddD5gxFcVbfXB79IEr/B4fH4nd28Tq5dZbSdxx/9naAaYCz9StX
R4ZOMDf3FycHcMSsMl7+auHgiRFMX7w/mzcE/vF8ePz/8mtM47IA3qkXiHOnf+DUUJYDOe8WkgsY
xcNmyUHkj0gVR9zpbesKEcAOTwtK462nqj7bl4hdKTcvXpppiKnbLJP3lLboms9+6eZZeGCs+HBk
gPDAsEnQX+NljTPD9Wnz56ncyvW8IFDOi+NSNDxtkipaXBZYGpkT5mxj8r3hjCtoMdJkwQxBfWES
7LqieFydUPn3KO0CvoyXbxpFQYE5BnDh8nIbASD9GxDMyIYp6uPosk+WMowgSNbSIyLlqNrSarDN
uLN+LpoeVtv5JnM8HiqfVApcLkpKL4+8DMSVWETwUKZGudSHoHIMW5yraY3C+d4vHUyHcR9FuiYR
yNHLq1cs/rCYr10XFXO2N5AzW80tq3afe9fYp2VQ31hFX1j1A3gd4k/2RBYsAybRwnJ47yxZ+i2t
M44pe29m+Vr0O1Oba8NdO6LPaN/bmQ3aE/hmHUUvUID6PpEcvbmzdohk358Ty8/1H+H9s2UhEyPS
e3o3H7j6ROQ4LvwDkhR9x5x6rPjSDfloPLdNoJd8l65YGCTRMnYMgK1lv3Ecwbzxc+JyqSTxbNy+
vtSdJ54lg8YE1LnFIbO1Cv3xWAgmbe83vHj6PrcujhL0HROUfvtktFWYu1/7ngNNf4AIxk4rWUIL
Q29ShLmHVB2L0tRPr2PZTgXslcLIt+6YT5trqduwDPRbLvikxfbsM7J4BYd/6t+wUugBhoxCf/Le
avC9Omr0rZlnpIeU3kc8ILyHGZ8O1/j9eqR0nP6NghudlMQDeu8/V56bgsFzl4gCUCyC3OJefB89
6TZE/MmgNPTFpfib+NJPjBpq/5c9buRtGtuCuQijoGOCnXr+fquNy4//cZMvP0elwEbsbQvyABIc
ovn8VhW+KOSxaJ2Vi+7tTfEime2gLnnmAJ51UexdPqhum0eGGifvSWZnesRr6sVWlc+rfx81UEpx
+9hNzY/YghqbTChzpHMUVyhL+Lizhl44czTIzP4tutxB9ETagPz9mnK74IyWCPw7i3XC76a1Pebl
o70MDz+tau6P76KMhWgRoEqQifJXqHeH7CLnyd3c55srqUVB/rIZhTuNqBNyR9/ey0DaYLvyLrlI
/VesQg68Dronh9E1jLl+65cbamwLEQtw3Z3ODfbIv9qqPG/Q2ZU4Zt9abPul0B6Vm6gEw/MM0IbP
t5gDu3+z/Kxl+AweO1YuXs5sdu8Hatn6D9qz/gLcLeRL3Zp6OtBs0repnaCOLi9TnUEIOrRZyN9F
r2hlzqka1sAaMXl8GytFCVEyOH6/5VE5Sy5GFfhoF2xsquPFS1Eg3j/OVr/55gs7tzKcd3jmkZEm
yC5TXtwr844j01hjnT3XFAwo2fAx5dM56DI9nSdMlnyvwoRQhgfsFLZar5xoQDN1AqRoNk1SR27d
YBoe8DCcaRkhBItphw18YdPo1XdNP/FfLLvU7TxzsSgV9dTy67u5GlOKAosseXUrz7r5VXMkOQWk
66bH/hKxlJcH5fQ46eNQ5lg4/gADgPlKI1JNIqyF6oNJA431Jqu7Do/D93IyyRS5RCSeI/wRn4Fa
wBg6iTLndhydb3OmB9TNDRtSOIbbKxbbbhlfemfJF/80Xi5dRdnALXKE2iquiKyXwQPjY1qscqMk
QKXdWUroUUO9Sg/xS/00RITLHbAmMD1GPBZouoxYMsD5+b6g+mhATd58/yO2u6qNMFIXq9/cOsKS
/IS/WvoMO3tYyp6/F1lwotcSf2Dby9Q+Z9Dw+RuYP3TpLeVYTtWw99yKEmVqVRx9m4azE7jwmsKE
d91Uvp5PI54QivAZAHCWSsdPV555w8pKAwnWAQCLQQTyMx8BRuSKWnxZI5f2ruVac5UfFrZnqXG1
pAOMxbvIIbQnj7uJx91tUKFgHR9xZjRruldpaaz5AQsFREeSewz6vDFmotD/6GaOxZH8D+6E4W5c
ld82+rHReKkebtKGfWfvLneyHDsq0U5hokW+WjagmcFjtU2L8SzZTFNV2ASMvI+st4wvYxEbd6BE
dqKHkUDI3x84XuoqVV2wX2VnHTXdIj760Zr31purar++8/1egL507W4Yjd+XwipVuueJ5tRgNSBp
9wZxPsRivVKRXKrxnZn1ZUYYkbc6uXpaAvY2/ZdoLube/jAA55DmUVbT3ESJYW9D9YqJ23a7P/z1
I+E06GrQgkWTNTHKmzKyk5lvGsEcB0SWuToz5duVXD5LrUfk9qAh1I7F9NtyU9ezXv8i3Ol8Yfev
Jy9yA/0T7bfqPWxn/T00TwY/sWar/sHUoTrR7Dm5694GokLBVM6UM6Z327haYl8yUfWsjBr9L9+H
LLZgViKkv/qfLiV4vZwaWYI/VjoBJEJphg9THmTQ/BazpWDvrnBQ7LNWuPBLmbHpcuBAn4gvLtuy
8dxvJuPbNek/3FG31O8cMBS/+v2FPBnxSOsZKhrprBsSbVFuQYUOQUzuI/g+fX3VpdDYw5xhNBh1
r4uQA7o01901WdN3QCF6fzKep8JDeRKPC128+aqwM72Ny8n6Mp7houu3hbyPNwR1jecI1jv482xl
bN1m3LWL0mMySDe7KjS2sm1ASZQ1s/FwuSHUgfWiV4UIcljeB8sor3PbqcH6//p49dOBnloO6wMj
GEsD3fi/lJXzkR4C9Wr7Oe866AhxkOGbfJaE7NR3veHqGYSxVHs25qLX7/3XL68Prn+qd+mXB+3h
e1qz+u8EGpPqjGUIKFVdlkYygfS8wrHNTPr1S/1UQGc24Q8xeS1KVvz35zAFsouAyLCV/GOMmJBH
uqQXqeveBxE9K1ZkP9cf6gT2jkGCMZOP7Pvi+Ov38mMJAWku4wfSExdPO5xxbv9Y+05nBx0oU+85
oqvmfyw8QGb9YRjCwNlvkLP/9j7/9QUh21E4wIhkU1yMfiq2V1CcLIIb06detTwosoon/jlY8UVS
1vw2s399gT9ppvQVUrs1oTMgHbFoR/30gqou3awda//p+4qx5BoYijCKaDjvoNwhnA+lSDf5OC3O
Wu6aqdXruUOmxbMxbKja/qYqZ/040nlHHKWwYdEaxZFHie6nQuMKkGcJVqd/qi+TCvyFnuNqqlLW
9YIcND6C3J1gfe8isiV4B72R6zdSCqeftmRGNJoePBy5nhkrlpY1Yanv+XHmR2rdFavDeTJZLv0s
cVlmf31bf/4Y+eBcE203HRPLwgby013luduPtjLmu3yo9Mq0fdsIiQE8/+NqhJN7889fz8O/9S1l
1/e/6av+JPwLFLsRG9P43ffHnoKHXcZmx8raxbiLsn9UWoPohZc2pLLIws1U/Ytey1lSKtHwkO8u
jyU2yfrTCCpIb/t26PUD49cX+OP6Q30WgSEDVYtS6BTz/z9OxGXdVCE3rzrB4JGVlwRNEzgffcmE
+WdLnX4pPjrEk36oBcGYTX58qQaA1QpKLDtdtiKzB82CcWT3DV9+fVXfpRj/b2H1qBXyUphdISyw
hPzFeWia9GXgTA5HuWFGgDjsKa1GmEzXnrrfB6InQ6xeQ0ZtNSKJc+O0iAQuG63mmqc1Epws6SoB
vOPGdqk9mOTYAfDpTit7A6+7I26ishC+pjYtpw9DjzU/28vSdtt+39TTZo/g301ACFq5RakNH7zV
Of5DdOnnVT6HEec+bRurV7dVls8Rkplp9gskrmaJVOPEQSMoml1tlIKP4vsGJTD4tTwGcK2HAjv0
kIeF/20Zuxw1qsVk6V7wo7J0czTU24BlxqpknDo75JzQ2hM/wBbLn4I7Z6j1Zs64rICC5iiz3RTg
hou4GsbGAh4M+68tdr4IwCihlruUPHoem2CILhuZbzsoOmsL93frQ/0QD/qZyhKolsq3SfEgHOS5
AaLNTsGkW1FkSa2agfMU9fy6rF8ctr0ROPmVuChxLn3T0MWAYZbUWdfLOSxC6kdmX15NDWVXKjAB
XYa4xDnfpYkxddliNnHvoB6yH6I+EgFZWb3vev07b43mrXtHv0F3tNgDmrZ/BzYVatS7QlBtznaI
kJATHHLZW1aZNBabzt9Xjp5DeOX5arE/Wp5ax/COslkqHrGWl5W9L1siEDkJE86sxoSoZnrp+xZS
AXK9RdmbXGEP6Ti+hK0ZJgXAI2u63FTRAHcrph29FJymo1DSFy1ycvRcRL3Lm0+KHgG5KfQ9BI9N
0DbyfUvlxZhwQPm65fZ9Lerph2f+TdiwbmPTIJ2V0M7v+ywK33qfuLajfuhchgYRdewG26CuOLIB
dCzAZ89o8RuLlSzrAt6GjbswXvAnRu9YxLvwWZCjB2W+8DKPeJJsefbWwgNnVCzpEaeicypMZzs3
Us0nKhndUyB9O1GRl98FyEWJ6nFn+S5lUJ9cor6GmNmXv5VS1O8zs4BUQPIuZ9HaGY8cdikp2aTp
hML82FVMR9zi/g3geLKa3Dzn0zUNeShhEuzLrpjut7IezT3P7nEfrqZTM2L95nMupmeyrcS1dI0M
Ov8w7r0B9hDal+w0d1O0y6MlfAxE3tPXF8WXgryAXZ3DkFrdtt15adRfhZvdHOBt0wVuhQetpwrX
llDEFl4Lf/Icch57k4rIEHQPqMKx6BwrOAXkLUWld8hLs3sWLrX5GJpTPyBh7bKXRW3hp9oALhg5
U/NuCe1ib9qjeYXhkHCUzjAAVVCmO8hxaL8OZZA+Ujws0CuNTvSFYAKX84wlrKfZLnMCItfW2FtD
Mz4Ns0vBgaVgR64w0IxBrvDAmyUksDgizOZ9MdvRekaBMH0ebLe09h1sDI45RZOv8ex44ddw9IJm
Z6SGvGoARng71xrLRzU7lcbVdNfeMFrEOYR598ksB3GjAte8HogyZoSmqHY5g8zLlZKTukWiOp+h
FRlXBfFM9i5k9cMWs6Dk3TZIEhybhfFhEf3ytQeFkdiFtX0ahrKzURQI5IPbNjBy81rUMYopCY9n
Wyp1BW+EOALTIsJptQIWYo5UyYzT0LlCuF6LK6l6ebDFZJPH1BCg4Xiv3rJ+ht6V3mFEmuJ5mMYd
pUVCJTPVzMHOWzvod8HY3onclR9WodiTmbS3ocFPFRqIKiE4iSBTRNruJzrTXezYdXvsKBQA5W3G
R0BQ1SM69LFKqnHMXvp87d9LJRob2uUESN+SgohX3h8d15CaGxNP5RsOyHDBFDPkgOW2ufxUNmKL
afI0r21HEIMQs/UYAX06C5tEjEma6ZVbtO6nIfTVTUm9f44FBVdeNB2xBRg9J9Ipu/GBXBdxbVXR
J2mwqdlBDGG/4pVDjw/Irw4s9KQXRcUWnEaryx/Q6aDtWHL5QtSaOGIqtI6lmP1POLpfFs7JL1vf
bOGxF4iSy77Jvq7ckGOOyXnasw1cn0dJhhDE6Z6ObZWNsQlv5uwTy3Ds2YdacRYM0UvUjtGbo4Tz
rpRp9zZv8/Z1YoDv5qCzb12EBUeTJ8WuV/34zP4ShvzSziTEDtXHzezao1NbKcosysl3+Wq6PMsU
K5JZFiH1IK/yTwGNmUQMbXmsvEm+oO1yeP+zfWWZrXMofWf4QF2uf4jaXJ6stY6em0Zu19lQ9nsF
d0cfg0ncal1zvJKTuzy0QyrfScAWn0lpYXGw+3W+c9eGyUNN695yxulayWA5F4uCp98RnXpMNY+I
4zEKS8oe0XmDInlDarF83OwwfwkpnXzot3B8xwM/gzIog9vNMkY0TGSr1lHq3dDhthw4LlG9C3Hh
OIx32R62zOgeKkrwD+BdRJ+gDDEPEs34BzFOLvkD3rbdyMidrhEqVVQHGjJ+nS1qWLMbtcfzFJ4s
en7JLDb3Ppwzh8q8NL4YqY0G7Wb13K2IkrVR7HV3wURJO7ypPGcOxr1JuAgunzoS6c1iiOyBKkt9
BzOkfa1H+YnfySj0Ftbr0LCDKaegvFNRifzSE1ZxFXXC/jgZJNsnoC7MW6Q+00thz3N/zElbcJMI
st21m3YyPEQmoRlXTR6KHX1cQktm+t27MNoIqyEeI5rjxkkhLxr0+69XPHLca99cRnnT40KsD5aS
1nJukbzfO8o1HoM2KkQCERfwWx4J+VRmxUzYMWik/Lopqq4ghKn1ECGmqWUciWsetqc1bOWUH/XW
w9xFveoIcuOudQsgqYozuYRsGrBzSbxmSudbqiXlkDiThVEp2IjrAHLl3yDXS63dAlmouh45iI+v
QFW3EKqgITFv4sY1sxZZkQYwBVeercy2fLc5a2rP8ap6HaVks9iZ59ClI3DsgVxK8rcHb3qODCBN
KHCyOsLtYKQZTi/DjdRzgcfMj+3crR870q6348JBU8Psetu8wa+j2oSYLzO4DWqWU3ClPSACKltX
JZzrxIfLdDUawDXLezhefrSRfN60pmp21GmaSqu0hO019+PoluEIM7X0a0J2p6FjPoQb8d4TkWbN
3rWmOr+B7F76cdNS5tXOsB4MULPS+AkmmFotFqpun9EovK0KyqS7UhXq5GSuFe5ATeQBJbFSWucq
k4J25OQFa2wvdL/90R7vDC9SQdKUqTvEgVs5lOKo2b3Cb5NfZqJTdo4UhDZ2XYrPmZAWe7ITtnC5
QaD3oKVouJRz/2k13C5gYzaFawFSjcYGP9CRQ6eKzyxCfejvc1ELoix6S0X7qgE6ku+FrTrPu7WM
2Z9egO816ansCcjL5vnjtuUZmeviYxYBroWJtDTPC9oOeIgpnhIeHiaLhI+9Ngy263q16zvpFNMB
7FOUiF5sIiZ4k0CQpvGaZ9nW/k5KIl2nEKBNLOex+Txm6XaA+k3nKlPpLR3GEDS1GpZ+t/GwcR+i
IXeeAwREEoYwtR7GAwMmRg+3fLE6UT2Kvh3C/YBd+WboWpLBesIl9xPBB9q8BTo2NhoVnaGx9Tu7
7etD1afec1uZ1j4a8w4+qmfc2pVyr21B07LLBprXEceinW2n86d2Cqbjpmy7js2Ah/COKJx+2AvL
J1idrByki3JJ44icSZVALiVn2h9mQT4hIeFJhyByOg+w09R+pcj9vKWy+JJCKOyPBP7MO8mkXKBb
V/KOpzwP/8KvaiIa2F/wFtInnjoFCaCRn0ytyF/LIrM+UnlTB0Q7xJqZUXMIRFA+GKUpIVn7+Xuz
bV7qEiVYxsHtENhp+aFbbCKfPIcYM8dM5dVkO6RxpVKVYVJQHL1Khc1FZyYV7kLNCYdd577kWHI1
L1bxucqd4GOVZpCpLWe5AQcIglL03dmhZPxK8d2u9JqmcCOXZn/rg3Nl38riqAeh+9mt9GF4bRv9
1Fb28NbNoVHsa7+gEUoxufPPRBEWXTLIQkE7rLeOYmGwlBaJFawjmi1Vere1GOy3PM9HeFg174HM
USxnScXfBQFO+Eqcr8I7wzqwAwC7kAEle60qu2pEN/4mOLXlSSWgRHzkwbtIDPHhMp8I9fbxpJfG
CTK+/aJ1AweL+BgMpash7j1PlW8TKTk8Hjh5HropRQ1FIJZzQ+tOXosVsmgsM7Y0N2qYxFtlA+dJ
BsqMc1zMtfo8jitzhUnJOW0SVDG/ANDhH+nIzXuQ084VReoMyRQYVTbzgTd/BRoyp4cmyMdrd+X8
FhtsR8ZdnfaGtycICM0vvkDvdRzq+kMgZpVUgzPsiJzszbtpCaxnumthhCqIPVzsj0teH8lQG69Y
/dplr/o8J6ZSRToJaxuM7s7JFwuaXqqVeGtjemIvBcToGEUKgyhx8yYv3Qra2+zTSmmIk6rYpMF9
4xg7J+naFzZ7aqdNt/ftMLXVPcYzQsU4VaQVS1rkd5tIpDVl9Xo0TAz77r0/OWkYV1ZfOJ9qZKPk
oc9GqErixWRbKfO2yju/ixJO28oVUADyZpiSgAeut+5y+lcaj4ia21137bymTQUAIbUdExIaBzDx
AC4BZWKskHlH00FOoi/eZ1nldtkOGqKkjYIbx2llPKuevGew0pXfnqd8Mprfh35Qs7cHhlY05LH1
9NqeU9Om93Ik4x778E6urmGWD+UkKj4H10AuNZUomekBzMjcufyvjREFJM+KoWzXXSRyBdKCLlP+
fCnWGkI3HMY60qVR20qVuI4wnXISRi+g+yDMww3fs5uayj+iq96Yb701RMWHSSy5RhAAK9oMTrZp
ufg8IliOx9cpp6AQ3oxsKNWdWUbm6iZTNkx9BUAIYyTpibZXduWbAxhibnZePU5re+1MXN4WFx0q
iyFB9OI06bMzeqIAmYpQtSBEapr6tUOHVIzscTg7ZP1BiLBkPTbGblfBlr21EXOxdSdB7bgRIsMm
KnSPxRg06yqows5UUosESdVUL+4+axWpvnuxoLiJqB20XXizsfUjW86ofWCr8PAIpo8tt4/cPfFV
jnuk79e8krBSvxioa8bY7jCfxbgEFXlkft58MVsdDYf6PZfVvvOHKN/NEp2Kije7p/m4+RNce1T2
V1GRzQ8e6tgTdeDipjNTJ6lsf7otrXUlpdVpAPPOEY1gHGPPZaSW4Ez2J9m7TitWHQW5VO1RjiYq
RhUK/MFIqKsvYjPxVKZS5/P4PEen3ehs69NQGItig2CQDBcQrQndSHjeEWLl2JD+EKo3Y0vVKmIr
W3rrKayKytstRdt+liYN7JjgNo4G7QZlPjZlaeV7thNyOE25V81fiMXSFRd21HabbBXEf3xac2oc
mskKEefYPUFcqekSwuWu5nCy8Ip+wPjqkkwXpHbWJRQUC48TarAOd03om9PONr1pfI/0AQoKGlYo
ywmajh6kyGTZ6Ioobt1lnLyb2O3Zh98qGm4qXpwq2AeVX18Z2dAhZZ+w2gugyqJBumGvEzGyrRfR
kiLW/YhvgQ8mgPMROyrsTz2RzWUyUTB72xAsMDbS6HEyzI7rJIbTt4R6WPmwdwRlhtEeHMfy1UC8
RPGwFBkh1+ARPnK4XPLHoGyk3nU5dnFiB+NfSYBmxRtLJH5/B7ftU7c46S0yyexLJi3ufLhsCrka
ucxxtQG1jkVhLi/gi6eHRRL3eiewsdEdDpqO1TRoMCtUXvRkUT4MdlHZLWeLokWxW9DG/LY4Lj5C
rxrcU+uWZdIv0nvu06w7jHZrvvflYMVRgA4xl/WGQn/Y1hjL0XqHp9IudvY0zJi6alIM46iYo/mc
+RJ12tBuyEGzlCCDcIlqLY3gNJxA2F3BwngA/mLTwVgIAdKBx8fOJ6UKM4oAiLSTDT2bAlKwb51J
TDeZbc3hzvQyQToBAo93iwpGVMdjy1WiBiBeT+ZhFjdswO97Q+94B4hOsPKNdS1iv0oj5ChVX+RE
bkLAoyw0Lw9bQwUg3nwh/H01I7DbOWZDKCBABSoUHnI6ZCON2M2O+H0Z8pYwv0Ely+itHwJWi/la
ja0Uu7qfw6fBk0S4jYZH6qaBpufKaezu1qlT+zokEipAJoTZOJZWGl1DULIBLxTVlTIEHulmKBM0
YPYnXDFTS58B6ClZyEMpkwCEw7qblrUEoy9DwlSnvAhr1l/p1NelZa8elurFezVI+lB3VK4qCKVu
RyJoLRrrQxGheIgbhBh3cIsHU5PTVg4FkY2roU9N8jobq8zfgWyQS8Jzk10d+/Nd7sg+1PfNv1+c
hTK0Y3fpXVg3zvselUUWQ0b54AxN914SlxfnBUG+AQRshFLZzJCvCfuDjZSxt1JgVNl53MoJe89A
3eVjm00GuYNM6p0squB+nMbuavR6vB4ywHUuqY4YqRm+UjEuAoZB5r8Je3P2yjWHp1mu9pnYESKY
S7C2erdmNkhnCAmPg2EIT4NDhMgOgDobp6aI1BEO0Vw/4ZYtdpLi1k4y1N2kd7xpz/bFum7XLkcb
uFjv83RV78lZsWIxTCbWSa/aN2Gd/o6s2Ny5nju+hGz3j3CjrLcOBfp7k1/xYkNx45D8v8dzE94q
mvxHMY/MunD6hEB5fBCTuaYAtzrTYh5sD1FmkGguLbc58jwAuDWFpMyCXbumimbcLL0tfyspduxC
xUGFeOZ2i1Vuda8g693nMnfcJnGp6p+FaC1aYSgtK8chkpjqv9xXgnqQfOMBVTXzjh54ugbvOdF2
jXiS7kDa7f1Y5j2r/AA+FG2S7HGGIBJQa9n09BpoOHb37oqUhpwUG6+GvXM6SDX52QS1WW5nhNzr
+JIWavE+ey0g5BNRh83oJqkrzdHYhbPnYuVnYqNmoaeFPqKMrIIIYoR31sa2MTRXANuVL011nlZF
FTP2beUdXLddwo9+244sKr2oalWzjmnM1Y59HjoFcEl+liFocdFYIUdmG4+qasULzaRBxu56SEFz
0X01e2MNhh0NTYR6+0EQpgyTZyMPDbWQyFItImcM6mC0rMw2s3+cnXDkCFM4ypfyVeNaZ2JDNi/k
3IdlqFDlXQljBbISSQ5g8vamcKahf5uqbbZWQjwzUazJ0rlsyeKNLNReR85wKo4SKtb6Slw/M6P6
mGdqDvrfJtJQbY/on7Di39DCB0SsGuPAgfma5OG09hMin8jgO/xNe+5HgwjNPwzU4ETYY9KVJuzs
pzZua3LmKJWIPpslLpLvXW/bB/qGrstpMtSeSzi3TWI2rrSDOCCCCqUKsH+ewqPTquCl/Nbo+vX7
+rG7zNvSOFfsqhH91wDf20/N0MJbsSZlRfCl6oRutDQX4UdTRTUD0ehol/1No/LHnrx+RR8+B9wy
vMO0fL9hLv/UX6ZoGI4mfomvzeUVAUJpAYbjtZLW/BDk7oQIbjaVgeWjKGlWXj6K/6M5vFvF1//6
z09fmqLdFQPIuc/jDzQHB9DBn0bHX3gOd1+X/7j9Srmn+ze/9kd2pun865uixonQ7zKRGccXnANx
YdG/aOP7NPG/KYu0u/M7z8EJ+CVUL5rUxABgRfgfpINDeKYdIWt2sHmYtKnCf4J08H5q7pscguBz
hwh+mGIRKqcfO+596SLIxKR4I+2pWD+5LLwDyu5gxGZMZQilpLNQRl5PhdMNjXHu7BzEQoJgrD11
8K6PPuD/L9LJJh6NpvASBRZ+u0ZBE3ztZR3syMXy5daf2jHz6b6hHltWF/kK1c5JP6NtWwCVC1oE
pyiXebzs2S6WeXRvFsYYPNKOmynTCZ+st/WZEyZOMH+ZR/ND7Sw6nWdzDXqaVHAp1FxR618SFQZG
bM8NuwgK3TwfVX7jzxg4w+fcpgS7UPNkotl7q3HHTWpxWzO8G6gzWvuwdJ3a/K3og3GbjkSkhNg7
B8rO5nUBboYweLP/nBuDpH0t1gePVk+QaCI5v+qvxvZRtGZQXJiT/zcB/2YCIkGzmRO/AKqMn/I/
T73vv/A/U0/PLzNELANDx/42if6Yepb7L9M3bbpLpDUDJ2bR/T71XPtfpmUhsglY+tFwjPl//ee3
6ciENLURP/hGWPkHGJXw5zkX4t9yAGubPOphe/6s++rYKxF/F663eNWNrUrCRazrofGX6LVpXOdc
KcKeyIPOxPXgucMXTtDFURU+p7W+lSeJOYviaqcomGAGJWFePeXr6j2whx5MCPW10o9rJq45zdup
aXw3XZ6MYAWvnxA8hAjnhUge9KanCQ0IyTbLzFHGrFMDZwH266sOPtAQJZjNuvB3h6iaYjotukzK
wSkgeC89p4GCex8FYT8/04g0mdFoadBxYBChFlGygbzmXrrOPXFWKjF5WQ5LwiRGvMF6G2futo5P
bEUbYAt1cZfqVO4+YAcNlt9P37Uck95tsEtOXBTpDttkvKFYKd4xQSWmBSpojxTaScCS/XnziuyQ
d+n0CYBSEUts6WVcVJKmhQk/JupmckITzFc4965QohRgqOKtQoCxx1o199esCk2LL60N1V1OyIdx
Vku3gG6rCJx6NlaL2KYdUTVlhi1KeHZwtAuA/sc5NbuxP8HgTa2CaN0KNKt68mucIbdCUT7nU8CH
YTfzBcnwfyvC36wIkN1sZtP/viLcdYho/mP3qepGZHV/Iiz9N3vn1WW1lW7RXySGcriPCidWjhQv
GgUF2so57V9/p8BuF3S73X73g82woThJZ+sLa8314wd/Oxk8+wPaVpuvs43RBKsuOtjfTwaVkwHS
kadu3lV++eOmbHKcqJgK+G1cphbMtH8dEKYFZwmQqMOPoadmKPB3bsqm84sO16XYw+UOZgm3ArkI
v2pfObIaWKqOfiHR4yVynxI2N8Rhrat+ycBBGUwvakpAcf7kWlnrw+2QL4pe2NqmlTiwMFEuYg63
COJFuUuwqwXEA/WXdVIdAO+MJ/xSTggL2z7DukLyXfXEIlaJch5Sl87SLO17pvQLGywiGP2xzpS9
xorCZw7QBnbfrz5/H0F5bUtYBeN1Y5+1XhzwvBdfWMmBRI1LG+z3CRYOvMs2vp1le81XInR4H32T
b/WBcbjho8pDQVHYJ/pViNJECImkfRstbSYosQF1NnVZ0BnVehl3tFTzoIaI9LgF26nfFr2COD9j
yqJKubdqJvBVou/Rz1TPHpRBOqo8hdJuRsXSXXf5ilw9yYfXTh+MXeGUbtBYTXcwSpvHLzVGQWsL
tapyvcOKsfrOSUQdlpomD02ue3RNNMigQqZDMmTXHWrZoO1zGZUY//yRk9436bYi+kAjJJvN8udy
XAjyKfpTnjqXWJ1iXzPKO9bYczTEzh4f16HB4ODHxWYK92pk7Eaihnqs7lnSaIEl1idrmNZgGrYX
0eTsc5j0hwUqyaCzFDsq3PEznJzQWJbyRKOdnhtSvANDX6JaOjslLZqdJVuWJbmNBQZDAcJx++DF
3mlYazXAYdT4KSyOp9VI0a6oo0VeDT5hY1yWnW4mnk+kznrUa5E9OFkjj72GrQmKAlrsRbN2eq8Q
HbuoZkj0Gzt9N9kvI+aTFpxN5GnZp2ZpzHOruMe1ioGnWCj0xr7DAlYke2GMsCIRoCBeVKI8ax/I
K39yF3mR6TNjlck2d0qVYhsDhbR3mvIVzvSnrB3MPXbvLpgBSUaqlymnlpwGkywWImY8K+SaeCj6
xbdnLgm3SxDKZPVu3AJw9CSG2QDfdkLCGJg9EXbaYB1bnWyE1ZRakHf9eVHyz3I1F2JbXBwaKfWv
VSVlIGXlwr/mWkhhe4VO0kBekCZDGrFylyv4f7nWfSSHqsQxvcShXfUTKMGVeQxTkaiGxbSzmaXu
YiN77HQ7uSSMsNwZ7ueE0ddpQeIeWI2tPDBMLvtgtIUZOkWaghfK3QD3uepnuVj3Tep1D2q1ELnk
ePkd8GgzRJxwSZdT7NwsnxkECnsnkUKGYDScqCIy2x90Rb1JKccjVeYlyjBXgLbJ9RD5WAaXMbOP
mt7FQYoP7qDryXGwJv2MhHEMAXY1jyM7z93oxkaIRMwJ7MSbQ2suW1+1arZ0VqY+rjFh5AP2I765
rdwNouHOO0r0gzKv7hFkrzfEdasnDXElKjfbFmkwK7mI8KbP4TKUbGYLOMAQyfIdT3W8YJcFbttW
LpA9FfuaaDrFzLH9sX/khl0cp5a7+YhWNnQk72cje+tAxD0VgKF+W9C2hdzMrROmZd3P7OFeddMj
yxobBZ+T+mZn3ZEE2kazamwikKX15cxi3TQX9iGt92Ucirt0XW5ibbwpMPFsiiKNODLla0kNsyso
dLrBQZXDn++dClHFutJAVeyKE4X5ALbrcI2n3heO4bJ9SV9bhKh+4sr7HonSgRBYyJU5LcvsjgSx
qu4a6Wmth13VckkxqL5k5LCjUnv1SGby3ZSSZip76z6GohCUjheBfMUkrWX7xWy/TkA5iX5c4yur
2zRThaadYrdA11XoU5SvjMBZYzabC8o9CEO9rgv9k233F3jLsmNvLU8uZhPfSe0hKFbDPo5qWj14
3vRcxN0cNo3z1RbzHEzEDgZE7T3o2nh2zIGFu6ufUoDWvlXXxWXhoM5Uu5tCxChqsfpBm2i/EYmm
hqmHXMGSY71n75GGuLqyqJ2H4mItGMjhD3JZrsfeociYkRvik7e63gPK2ENdVNpZ2hmSCH1td4Nb
TCGrmtKvpHxo2RbckOJ3kbHX8EGGLD6OYr7PWlKwsbRY+JTWfZPDKrWHNj2vLcPzrkXgOhkKxJRR
x+zM7UWQePVS5MtHwAfjwVmdt3pEdSOSQuxGqMPYzBdll1TxpoSfvGuQpzdq4gi/Nc3tic+XDSHK
wWDpJH/Hd8RR19GMeGtpU5hZtllgvVSeiTNgaawsbwYgFs7CcTy6hF5y1qQsguPYPnD+picxmTOR
g5xys6tYqPzcEi2sbuxTaVjEhc3GTie4NmCpq+0TJ3ueqW4RlbkPMNTPfd52fqMk3wwF1WRRFfEO
65f0zcbWdlaNUYrprnpCTav7xPKhvuRU3eHkqsMZWrVRfS7svhoeTYgiCNYSV2HzdVhmbL5k9g4t
9s2nIQbxwVcRSVuG6oSrr3SvY5xkM2oVQbYVX7I6gzGLXJ0IO3I/ncbW40djnHGsIxpaOzA9EVFG
nN7AwmSDY9Kv9Ni6Y4LM7OCF7MpKVidoZ2wdAoa4tG5+lRX4xzGhN53sun8a7h+l8F+U1xg8ttCP
Py+vn9eaYVnyvrL+7Wf+1XNTPlsbH1S19a2PZoD2e2WtafwWIy0DPjblLe317y23RcutbhAxE84c
HqR3hbX6gT29o21eKZWKW9P/VmHNMOud4WMDMasa+xKLoCmTJnwb7r4bpaIx1FIrbuersXxL+iIU
xed378Z/AFv+PKtl1vDLA9A8vH+AbjGKsll4ABdxm+C7Onqv6XSFcpJl+n9/qO/JLj+9GFxAFtbd
jWnJ+E79ZXK3ar1WWJQJl5lVrGqGKkxhmI4cjKFi3lqf+mxJXOJUCNtV92pDnSbx1iPOB2NlqG1S
vjGIcJ3kOhlNwVZ8T4Gtglusxq+py02yvBhZxCjmWbWp+griQ1G7uhlsPBuFRvywtgNa4dQ69UOm
3WRtnaX+msUsCAOdgD3fNTqLW+hkY17058nwBuQRZSvyewgeyQQUw6zQ9hKey1bGT+2VRWc16qcO
+fbjuhQjfK52ZLpG9z7vwCsWRnl2BvR71mLLKxfRyvxJwUDj06WXKZsrMnnRlDFzMBWnkeds8AQ+
FxR7ZhWRMBl7CjHReTYs8d4purTff/9E/mnK/+LUYP2iwyP681Pj5mtV9WuBuC/9uSn/8YO/HR2O
+YHjxyWZzeWQAEjARui3o8NVAR/DGdx8mQypuej/ODv0D/wvRJ+cH9AfSdf4V1NueB8c5n72ZpiD
hQtz7O+cHRDbfz49TBf+HTN5TioTMicWtZ+/3CyWe1k2Kq3Aln8ajptUgUt6Nq50Aq69CKYWwuyy
TLtyNw926/l633VH0yVyYydbpuiBQFTm0TQOhYXHxKIj6/NkDDvvC7vY+Hq2bciTq8YeNx2JR5Ol
izy+VPo+QkZjhhJFLQphA6tzRInX8PUSsaZjKhNyr2h6/dT1a3das1ZcaXh9I0eR8jHWFYNCF3lf
1Hlqk0UCRf89K8alOqit19JDLKrzCjnYrqiWaPT8mqElMJDGyzGd0saMojqkjky/KpqWfJnhfFyy
cXU+4o7IxtBTPPMCujpTN83p1dF3NmIFsqFEj7AuWzcQFoszJ0B2TTj6cDnNPeOEOJOIaGKcM/Uw
LRGbTGpUJ8mmwOJNCZaFfAelsxEVlKW3+KjLVX8qLOPR7XibidTIeQhdqKfKTkZySMF86fqGQ8Ha
5ZupqQEv8Mob4D82+gNZ3qqyqBmZut21iJFkIjDKq5PlUKZlroyDfBbODoi/ilHLLS8rR0tgwzj2
TGJ6TqBCUFnqM9ua4WKszY89PsB7re8rd+8Sg1GE4EATzmAoDnsUWcbTUuT6LiOCZV82SYZmQcbx
JVvoNFwNNQ9KlNWX5BD3d45du1lk27F1MtAjsMe3q8gstTtnukHkX7HINdu9mag35jhuss5aN640
pR9fkNkkj11pLNfkxGHlK+0IQBWQtzIHaC+Gcs8atDihdIgvKDerW0sdzMvc1J/TeUN61WqOTHtc
wXUn8f06Wm1kK1Z5mFW2qrU2BHmeZXfx2KrXo9I7YbyYM8qZep8DmY5Kky5AjGodxpKqgSlQjdYZ
h8JutMv8mzfPX1CSKLsanxnyi6HQ7rjIsQIsJHSRtlD6svCMSHOtOcyBydErW7c1Vxvyee+MgAwc
r9vaoSL6jxJ7GewNR9kJ3dZ8CzDhAbkLzvMRrafGSPpUTEL5aCJbPjaFaO+somkuV1B9J3Kv2hBx
8Bp1GmLcAhnOlTG1XDdctvDbuPHsGyxa/lihvsgwieQBakIrwpy+3K1oaXzCn1A67m2zXBPt0Y0Z
sO96T5tpxywSzGxcDbNIhHs32+AtmmDFsofFTOcOdW/Rs1umb7W50J4wnSVZpFpZekZV4NwOrojF
82JK7oDADwpjV3k1KU2IeVcef4L54a76s2c0NYyBDE9P0NFLdYjoa+K2Fg+M+XHednKs5iWioSVT
CbrZd7XSTfdTmprzPXKBEX8SQWmZcZUbRAO9IDftZBWiy60cybxus1A2KPrDqYc3E3KZJckLRPWk
CDKhpXw+Sl1yeTIAA3qDUiYh4zpdtm50xqwa0qi5boRJd8iTAyZI82WsyUX4Ql66ltsvvEfeOPnF
pqFB7mmQvVLF+WDwC3anI044sMK+UCE/PlT5iGdcbQ3dDvSh02O+WNoS/XOnroZ0WP/iTg09YgNx
/vmd+vxa9a/9+/L+tx/5fXBufrAYTjtUuvABoO+9H5yzOLNMHXzCBjkHIPHHPZo76e+bNNIN0JBC
xmSUjxfV/FuDcrizP9+T6RVYq0NF1aAfuvq/me/bmBlAliw2sYJYkmGEOgyObW1eZ1ZdvdKQncZS
icIfP7SBPKyuVg0JJTjnzgsl0lvtvoBxQExj35N4vkSKXDozPpBSxghrNCa24U5byOYKRAmFy67s
Jg6+q0Flwr34TGZmBN0c2SA70Y+X9sVktv0XqEW3g5k6nGXonFF82w6pfJ637sDHhQjF2Cq5Umoo
dAUOpNbTKrXFg6tncq8jRFUvmNcVVpD1asdRDkWgPxAOPLY3mRLngHjIn+8LaYig69tRC7puypqz
XXWE2tSr95F7nlnzEKsto8UjE27fOA7SfwPbQGTUqXtNKpH90jLGDRWvnj+lSDhvpDU4SPJXi2Bw
QVYY3jiGWrUhFNcfaqXZ5yDRjhn2nU92b7Uf9R7JHYliqfel9twvxbJeuahpv0earkdyTePLabSN
6xR0+mHr8qIhM7xg2SSMeEq99nbMKmwN6rqqRMKxmGMy4WBJq8catjLM3dUHXzUdKkWWN6B7+qdF
lPFR79Z5L6Wz3nq9vp4UL2PMsaZAHyBjK+mB4V/6xvVg3WY5w51oqnXlWpTcquEXdoe+XrSLOR6q
B8FwYo8OgXAMaTrBBLqhDkwaiUuTweezwuTeRHaMe6M2KdPw1NUM3BznOGFIPReoLKcwHRn/ano1
RvhPcEYzd9oZsyGJfCDDIljhRn1SMKLuCBRU9m3ayiM7UvlFLXXnKHqtuUe2G1/hz6wvagUZxZ4x
9nq9jNKeNG23TIAqGZP8/uuQ6+YkLhWmS80YpGrp4AVtJ8+suhP7kmSuTmXczwWLliFuM2+nd8qd
q2ibChELXD8z+6VmVL/8c6L+LycqwXUGp9ufn6jXIv1ZHfTjB347T783NiYpoozg6XDobP7oecwP
9EKaht6AEYv2XTj0+7xEIyKGxoaVIzHWW0P0x/nqfjCQBVHcc4PcVAx/Sx2kbQORdzMGFpPAYIio
Jsic0cvWQf00z4CXiz+usqzjtBCaGXI85Xe4ruMTd4cpAFPTU5tkcsfOSe60eYlPbjE0L6wylker
cpsX0876Z9Wo+ucNb/fjNv5l+b//nEezae1+eXbcbrwtQ5u7Cfe2n5+dRykfa7h/jtlk1q+WMJeb
VhXVxjOlhmpT7DFeo7J/aYh49N99iv9h0gOW5pdHZ45lcaPb9shblsb39Nb3wyTcqZSJaXuMk/hj
2eJ3gE6bepe519U2AlXLudBVt7J5m2znvJhe+gjYKv20yEq+OWgygQPK1ThBHuyj3B6L/VB0Yx51
GGhusWI1a7CMjnWM53K40Bqj2bFdNH3ZjbGfLSWTbXPqybrRVwIdHY3Bqgo0dDsxHYcSTqKvdkeh
tL4x2GwhM1t/SdwKwH2fITHt3frs4L+IuroY70h8qXY1cIPJVwbDzXcJ+FMRQAbIAiM11Wel65TI
zZ2HESkwMTsSax5mxKa66swFIKpQ5snvamM6QBOhl1Jwh+LIHdFnOahL0NizrmlEJciuWtaPVeaW
SJKpoS+sOWNN1q3DMx2g0/upWnBUqZrA+sMHYB9cI193eK7sPUEcxNmaOvMkpo/tnTcq2a3ap7Th
GV7Yl4JhEI5VR+1CV2DJhJ7XpbvJWOC74yqw75bYTTDqta1doBsTw4M21iKqBmcej55LUFZY6dVw
t6TAMAO8eX3MXIrmvSQzy6VmHYAq+5bd0H6zlTfO1bK5DZMEcLCfC2/0s06afKyZYh64gegKNzG7
82fL+uhkqxsJy65u8qpbdn3S6h0dMhmwZgcQ1U+gG+/ULOtAO9Axr4Wu7KXuJm+t0KddrqY7b5im
kG+qd4QTX95JfZ2+s++zk8zcLHS5eb8KZ2gOslRl5EEHP6xpV7OD0wc8J06mr3bAkgQQCYEE/d5l
bHeOMYmdPOKcnoxMHw9YPRjbF2iZv5ooY65JowEPnVZO+ZV0gLz2ddkaLJBTuCqelrRM/CZpGb7t
dCQC8927F9/bjPFHz5GRwjffa12ZYmZsnQrOSWzEbQIBOq40322G/K3KRJxSX3TZXlfr+S3PJ2gj
Uy5KFEMNCjz1sm+9Ln1lAFg0B6+aTP2677v4JEdpHAvVyKaP9pImHiZ1vX4lBnGAceKNC9YErVWG
L1U8Zsj4vYHwCXtgzxGBnwaMwWR0vZzI8FhR+DmDFo2TItP71ajX9bBOLbJCBfpO7NdVVyYhpu+k
+WR6uFeYOCIx8D0iOkFkzLl6kG0iuBUM1UUnNhpJyzbxFVuQcdRAOW7qe7U+rnmf36GK2g5DwevP
ZVpdZxLIDryhdmMXejxat702+lHrvoulNket1cdsDyezfx5SDJV+l048e1bF8tDWizyk4BWhIFr1
CxQfD4eLNTVTKGa+yBHTGKqiUV3Gz2rG7u0ySyl+r7x4NsagQUT22vUFC3NMWRLmPEc5ugneJzMb
dao1jKW81mG6WlJdPhW9oTCAALQp836/xHpcyJA7gba+WuPYqc0JQJjKL3nibbKPYiUqlGGSJufp
Y5UsRYqFBtbx67gOVIBrJ/szSYP2VUsZNIVTTWjBbh6HNPNNbPB7qKXF9VqJiUV+nTIehoC93NKc
6td4r/hiIXMrrjurwJaBAQMkibtCllhqZ9B9FXNDeVFi18AMzzPg2i0bE5Au8oUrrAdL5rNCi8cQ
epHzSZmqGXpF2uVeUCSy0sLatVcwd4L8IfQrzvxSa1g7hb168JrsrPZjZIXHREdEls99/bnXhkdj
me3jBPrH2muDN9+OkOaLUMnNeNq7sH9MAB8p7FZ8dnFgWrgztVHNL4UxxbhSlbW6EGxAH/R8XGwG
OCPGhamyM2plTezqOY8yvWaKXzCYuDCLrD7HYhIXoyO73mcbVxyX1m0YXCyddjaUYjgCe8dhxwWk
wJPgdfGSvRXvS1tQt7elo2/mxN5F4KMjBFwHp1r3Faw5Tr8Jhz19v0wCwD7mbok58HtGoM//FI7/
S+FoEQP9ruL4N2158EoCHN7cnyfmP37q910bIlbqMlY/W2wWGu53zbhufjDZRW05CN/zWqgrfy8e
N30rBQtXJ7GA+lYh/qs5J1/Q4C8kDNQFAQgI8O8MzH8JL8LrSf6czpzcdgzErrr5y7ZtkAYgknFc
rriiiA6bsX/RTML5DnJqgltGjespWybEHqqaDy+czNNjbvYoMHqvan9cZ39aK/4b2vA7FpD1JgYO
FVuJzTvyfjVHnnKTe2IkMrOttKskl+QAj05NWbJMA9jtaTbHFwfhHALS0h3aAJInlzxUcMfEMuZU
b94wqNf8HQI3Z1Foj9APXZQgthV/1YCSL7t3n/d/qDA3YeP78nZ7/0zE8dAoUdOrBEj/8oy3CFio
ucMV2P0kCe1FFo8T0kBjNzhrzVRyXbQsZMjgUmQRKeuvuWrsEcytGhyEengTS99rQao0Vgh/pcYC
XAqSx53OyuFx15m4yUdwKrh6+xASkPfUi/aMPt9aopSRxiVTgKn8sST708/B+bcXhbRRJeGVzgX1
5fcX/a5qdlYF125T9Feka3lPdULb4Zv5NsBsqnG5mZfOu29irfj439/MXxoZoInOJuk2iGpTt39t
T+vdwyJdTky64+qqcqV2BUZ9vOLcB0wfi6f//ki/NCXfHwkVKI4d3FUIoH+5zpoKDG+LHeEKVYX5
ilS7K/ZMqVbdzxsRqS2E78BQVwJvMwPt1F9dNL8sqXj4LWncIv/RpCOia/v5heIlSfEKgSly2twi
j220XvNiew6WLPsIZUftryof/X4u2hkCVV47X7HNE8vgrebFwgxMDQxSuoESgJV7BJWiG6Fw1/Vr
o0xNqDKJAaYPd6o7YG2R41+0Vb92nNvzx++ka5usgGm9yZn2/oNSGbzTb8bKpTbG5WvaESPla0o+
VCbDKyKvTrNI88+J6wEYky3Ea5xsaaBrk/NtcKRk4CISBm51Nn1NO8N5m6xGOH+RWw8I9ZerGEcO
DSEhqPTHbN+drTd8dznZnZuqQM+Ny8wEjuu5IatmuV9AQXq7YRrxo8DouUU3aY1ESQoHWkO173Vq
msJsiB+jYrlriDxdCHuek+c5K6kOe9yEjdU2j8Ch3JBFehwgvGWcBiKA0X6c9dXV3Cg97mGMpkmi
eZmPzR0LnD6J8mDZKNX0LLlJgEItTNud9ooR0MOgl4oR2hMreS1ddc4Gc5TSV2c3uyiE5b7EKsgS
wbT2QuL5Q+aqCmT5NOLpUXE7HMHz6spQmy0llNnypenb4X6EIY1dumRgGDOBPBKhqT+0Qpvzfewo
WupLkcefmd12cDuqVvk0lsDjGpgjRyDpzVFrveItnRqb771R5vcpSdyOP2GYPHVxNwYr7wMWVt27
BpKzRBg1252mLdoUFbRAUKpmEjKCifVnVPZGBwrEY6sHHS3EszAcuNXocwDp30YW4BQfl1IVZ73z
mnsLDMN+RDGqQ5Eu5atr1x1V8kLli8Iy2SnsNV/hyczf4H5iZ5LQ98ZNVTwlu2XIar4c8xytyTS6
u66ORVgMRnmo+KNoFE2EU/YENs7P+ixTgAEgYnVqa6HLG4o4MAalKvednUeJCUP3djY0E2daByIy
40oadsYwe1TWhrNc2NigihjybzuUJdPNjfD0xraIiu6ln5Vlc8x7HUd5/UVfy2wg2nocxrFRr4Z8
AKQJkaGVe5ihQwx8MYW/l+lFfa8SGXjMVoPyf+QziKEQqWxX4YG4RJGgOxMQ7POZTWA+J2rQkSEf
X4tWtcHp5aszixBphjcQyT0YXFFzXGv9HIzcC3e2IrL4euKrYycBhShmd80gI3BXFWnnkc7NzQtS
PUge+iqPaZi/xoDLg7rH/RHQPs/xbi6cooz6mKpgtyluZeBKixOz0nNQdqXolAJG35r0NyAgAILX
Sep+U8bJSTFo1PoAcdId3SsL7FV8qgxncCwWt0vfyvXQ48fpIDQlwoHp3k+y3XldX6W7tbDL9aD2
fdkElo7rPXAWay32HYkuSsDHyii4KaUWwkDJy5B/VOUaJpACAnCoqueMBXV5NOgwiygXg30nx8GA
KAc/QjuLWSAL3aRwYkBiMzXVPTdjAx8KYPPd2PAMonqgNmfft0hcuNnazJelSwcYKXxVOnCk2oj6
zbKKMIkx2oUO+F9E2w5rcpSPJO59xVnt2UCDBoBKZFuJ9ogRxjzgU81Zo+V5a4RpncahHOOcZnTu
Go/wmzkzme60mcR9n0nlrMaFudOaGGyeIzyniTQSO+ujSLU5iXLPFGTp8ed8zcOzz+WTQHJe5hTS
CZAe5VOHSR0lasr3SL/SJEGfiHImUzEeEPDo45XdeGuNSrwdLq0Rv98+wbDLD3iQY4wdSURa9QL+
pxKnlnQWZiSzJdMzYWjDg4kH+NVaYtpjV+PiJZUBuGvU2zLlybM5BYJrkAKHlSqOMOq1L8U8U1lk
yAnu8SrPn5tOGOCA5iRmjGWhd6yQMRs7q6izZVd1k3YlYQ+atz0Z9w/aAFbHn7E2usFAgs0SkfuR
pYdu0XX4cQ6gjutUcbwntjbbxZllbY+kqBf9zbKag8v+cuazEXPFE6sBDWpn7mDeE45yru6SU5IJ
leYt9XHovVi/oTPP8zvdrZhlLmY2j5fDwirVj1GV31i5YiPmn0seuq6lhIijl4OEhuhsL3576jPn
E88LmsKVaVW8irEltsEXeY2PzMsnvjpNkeTpbUVQEROGkaog4fc4U/WhEtetZq4Y/I1GMKUQc7eM
l6UiUAqn6tjCxlId1Yh+TET4b0huvCIOEMhAW508VOUTrCBv6/6Z5JD1k3NdgFx7ReHJ01i6bL0z
hkXtzwllbnauG6DV9y53i31fqdpV6yXti6nqduuTA5Dqp9pNvJHmFnxBuHZOC9ELKvm+0XlbA3h1
65e8yK2bZexhmbREE+fPs10m/QFGWPmNLJPtDEnbQoT0Aa4RpSBY+11jl96zosblrpwbPGiOyTG3
drO4S0H9ngExZRZi+U7HWlFYJrcjoXtPXaZMSYQ/g6+JVGLDO5pVrbVfSw7k9cQIn+8GeEeukcyC
KsTCRk4RN5m5PWvdyBYbccgwcac1JpXSu80+dd7kPSgrZfpJekOnvcFyXXsSzDVnAhWp81ctpbYR
QGdQ2Ecmv+zIFCgFO1lP03C5rE5xn009th+nP5glTv6DnG3GVUDYerlviryuLyt7MS+UAUpNJNqq
nM7JOjcicK2+FA9UIv2bCrQZ9bOT9hPTy56pqjdPbstdYG3vC6h26UetloY7+RAo8/WxGQAI8pdB
vYyEAxzipMTN/FkkqoKswunt/JiCEr9deiWW+w5wXBqlcuQiTXUWfzdLXkjrqrSbjU7HXM++NDVm
9sFKddNHMzA9ONRulW4YLYf5kNv3RaQtxtKFUwGFkk1dy9WfM3B2kNRD3glibFLtM7wQ7SETHdca
dzrviWu97G8qryLSetQbj6iVUqBnWsYX3R1nDE4MGZ1HC3zdHM4IeUz4ogWJf23ce6ivE67oqEkN
Pk0ah3W5SBE21BdO1wjjBhRjYR83wReva1mU5DLvlGYOyx6mlU81Ng6XRRHz/DvCa3a9cHMB61lV
j3iL+N6vNsxu8kSF849o+X8SLVOAu7Rzf76CO9bz60+Shh8/8LukQf3Ajs3BR/9Dk/yb5NCzP3Bf
J+1DZ6IOkP6dOd80PjByoU9h58PN331nzjfVD4YNsxbHMdhXZ/upv2EURpn8S5+xCRopl/Au01I6
3AZ/7jPWchimykndk9qWYDfAKodzrud3i2Hlb2U1ySN7bDbXRHMlgGzWOL8ycN29ZJndNz7rFOWG
1AwYN6JZpxuT0JmnXOoxfiwu3S+CSWtyrFujjYO4Gg0laIHm7UZkW1G8FM7Tag0MMbvG6H36gCI+
icwt3qZptS6mdnSfxFJnHTKuzZUw0MkDj6uXMhiM+Sg8Mz1O1lREkGDa0bdxh6V+VRr2G7KQ4is2
+WNSFPIKFNjEYLs17/JYGWU4Tk38DchXeZ0o3+mpAmccMTQvEp7eqxkn0/OSMPDV1158UwwD7q6X
WJD2usW5gTjJeHZZjf4ms5LlUjqdRmJeZ67fYL4pt3WVsadypjK5mhQdoCV6AyzJvUvHMteGeaGL
LAcPAD7Z8xEgilfZYJmEn9ZH1hQLJHdGsgSGW7r73rHgQyG6K+5XTYjr0RqPFsqF5AChN9kn0nMB
t5rTXq2pLEKJD/u+FIlEcQCI3cH4IPSF4bg+IsHKK43lE+S2N9SfCwoyt3NU5KLTeLa9DkV1nLcn
ircsynrNlkyQazso2sU7d6i4oDevdoUHqHHhD9ce6Y1QdO8mp2wPySqo3BW1/ywUpOCAnUtUDJDb
mvu2mIcTs8Itm33hzfEKDKVKUxXXmhM7qu8mEsWmvdYjqZjO9LEY1dW3RwqcsyZq+j8h14V9WuJ4
J5TnMBWTcs6ioq+66wp6cAAqlYWkAeUwNOdF1L6a9sNpyEpAPrZYkht3aL5BgljHgzrIFtqua9Tf
AOkWdPuzxMiUmpIFTmfYyiFm2P8Uj0t2nAwSFIgvyoxjU9nTK2lg7o09d1NIZWHtPMXo6MCM1thp
tWcAN6WAvZZMErKnVsWOPt1ikElrbi5SGYY9u9P0Dh2buClhoGvFG5+ujqxHcDPhvV3MCuDDhQqs
v06vaITKGFJb62EMhUeumcP0MlvM/d1V0x8T9//ZO68luY202z4RFDAJd3nKu/bNdjeI7iYbJuGB
hHv6s1CSjsSmhvz1n9uJmNAoYoasKlQh8Zm91+Y16IhXycwha1iNUgOhOGoNo8t3LL3KDdp5DEvc
ocuOKdlhbIXcNJnMuL1nVC0e0DKUWLhyo14In8c3ybIZVZYREO8ox4XGdmMdD2wb69Ci7pXG0Wx9
4wJuk7sYCnEL8WDHDtU+TSXA61Gv0ezp+bhzhorrjq2ozBYdOQOr3Kv5BRJHocPMLUYHB6GylhZy
1g2xT+3BzOpsjffR3VuD35+UNYFjqzK5rVj3IAzKpuro0P0fzERltyzSRA7z0LG3TsIWVfObmyni
xpRF8kGwzZeZr+6knvzq1YVYJVj/yIpImntNwY9KwaUtmxwOQTzYxl0tJKeWl+UpKFhB3oWDhDZg
TghGKvRo/AXWZyWvLZE/+IKNdMiOaQF+Z5e04a3j5NE6K8hpYIqSL5NYB3Y0NKm3Y9uULQfpzFe7
6O91y4pWejf65O+xC8dAzaLGTMxbpwStx/Ek1yMOwT2ugmzt2D7KxVA06sL2pb6uhmQ4jZk9PVqp
EE9uhjUhkmwHhzKKDq5q3XuUdOpY9k6KfjlsOFPcgrMDG26gveuEjGONluF0NcMyGZOESLA6zkYZ
lt4ORZLYKbRNJ2CiPrDDJhw2gTmpZQtMbNkjQIbOL6vLTHXx1mVmfZS1+YpeAiAwGGs2Ntm0gA3Y
MiFB6sxtmEc3fRrJdYCzK8W9mXK1TSvhRvU033+P45GHiGcRYsWX0A5LBir5CY5hc5U0Xv+1I/lj
TWM+bbPW1Ne6V+arRLjgQBsve8LG4V1HbYhsIeTrfyKlCoSe0i7hr+RXRofRbyTp4B6RW/rR0CU9
M8cRdy78zpuqisL1aFT6Ji2Fuuim1kMVKrCcpVKTa5s9IIduFKu7WFjFwYsa69WiaN4R8NmfiIfJ
LzyjbHakBhvshm05m9MUd1U/3oVG5nho6I34Emtwe9L9oAM2mwY7PWI20CWNXEHR58hMwyvDb5Jd
jIbsWpPKBajakdwZcuavrKQ1Ke/aaDroaQmLTSbZZWymwZeIFGikyqXdvKBBw7s2aV18MuEF7hoz
qKD3GcNbRiDzcrLK6d7qLHNZBgkUyjSN0UO7VfOlCnu8/hHRHywqO/yggCv4vVXRre0o4w67jEnx
n+AkZRxEpNLYRo9lNYP5JqggUVMEITt4Tnue6MNrJKv03ooEagrlIJ7twUgucTVMzHSJ5wQDeNOq
EY53WFtG2z7pFVhkk9ypnuCTJyb0KWyfwa3jR2GbAX4eImMVTyKpe8nVVMwyt9xS2RqJZIWavRuo
lgmB/uq1nbMOJDEYpBVyBIOAM1CFzDxnEm/VFl05VMSh2sbMltb8SIM9X2W6Unme3ljliEEodw8q
1NifO9A7zkXff+05vxT9km3xs/r4SJmt3uX4XY1MXcsf+lOmNgvO/D8pVSbLlT+NOf5vjFtnJTDp
b3hR/lYl476Z57M493S0WSawq7/2jM5vlOBId22D/Cpybf5VlWx82pOxzNMp01l/YixkdfB5T2YR
M1Rj4AgPncH9ubRQzd30Rjghw8wZCJIxcej0twRi7L7Eo9svsJD6t6gN2l2Ng3drVUa11VuUC7//
4v7jrss2P9XvvDU+nI0tEOOSMGCDfF+/D409Yq/3nL3LHqK48nlsXHlAc3kPWmDLBfqju9gQmljH
BKK3oQVtoeygXvB4D756eW7cNBBCKtito5u5j1OphZfkaPYtmuLGeM7gdzv1OiW0YcOjQ/NWqZ2Y
+hX2cK/RVsJpNW83Z62uBGaXNloZoILlwIHnyvpLNHYhN7oGVxKgV1rdekGTIg9wGytbaKSkHrxa
Ae838Wezl7tHgBzVak02jnU9GY4i+5wAFkbzSBoQGafY8AmceMtgXt+SLVQgXBBkmyyhHVE4MnYb
jE2Haz09tFaBIz3G2cfkG/jxTV41Kw6FnlFc8DAEocbwdaoPVZgYW6Ws5j0GQQydyB5WKAqPRlgc
yHNu7t08Hq6ZpI1bl+SWI0EaHcRSWAC4lRAFp36CukRY4ykPI2AYieSJi3HrFvz4M8oh9ChxUxSr
SabRkxkEJcBXReqAFhbazQSNZICRPTKciLvhhODmTge6DflDxQtmtTlE3N4xwo0nNfFWN1mCSylq
FoNNWsZSERDt3OqeLG+7OMcYFnjZtQ2FOkI5WRvygodwY31JwhoIp6HFV9NUwRMOzA1z+f5+1HX8
EZGV7we0hNs0zfJN6baRXBq1o5YNBTcp3q6xG6ygxA3mA/0FTkapVxZ7quZ+aVShc8NVr46eI+dU
pFQ/hDjlDjNd7hAZOnq3INfTp7I1mvvCpUyrEA/aS6k0moMmni6t3BxODK4gZ4Nc3YigJboMvvOi
NrsZDwBUGFZB6zCp7MRmqnqW9yV7zlfJzx4gaz0sW35pyA3D/lZ3u/6SrV93tPtGrVMR+1tRRem6
1aZ8YfYxuY6EpN5iXKo3SgfXENZkd6/SOnPZDPBAHZdTJZwnm79kqQ0pcm/PV2vb741XM0zQFibs
KfGABRdVBjjDG4Z6J0rR9cuWevsZsfhEICup33tsqchbYBYjdZnOshdE4khgEGchhyFvDmkMtRMy
GdbJ42qOh54WzqyjsQfEYuiTZnXNrLMhyqGw1wPXcd+dhTiZQbxFSEV3HKKeqydUwCgPGE3SdNGG
VAeiHxg+i/esF71DIiyKn6kv8xMESUjOJdJKjGFog6xZJWSeBUP+WTwUIonvtlSIiIoo+XvyS/TY
3roS5D+Oni9+1E9vbjcN66BvxN6fVUq0b3TEKBaLS07C/rk7C5rKs7gpOwud5Fn0hHAcAVQxa6Fy
IqHUyj5LpIqzXMqalVPDWUSVMYzB5ncWV41noRWCsW5fnOVXlFV05smsyoIBgUCrm7VaTSr6G4c5
NaXQWcw15k16JbgxALd6uA0peRB+1WcRGHZ+59LhODhmkZ/GCxWkTJfbvLqNldUW6wH4wQUW7uqk
VW2BbsHCnRZ7SXFPTJCWrgwVCzZB/O8Ov1Efz9cYHdAo1hc9OPVrlJryC3Py/B69pEFpBx8lK1FW
cTxz+OI8lO9JyJqOzjNGLEsr6bBqGlPtqbToMZZDVfm3ptV78drVydsCagYvAWlu5n+rJ6s6QMTt
EdqS2oS0sLs12q7aUeivJs3R6kWI4HQHsp9ZMHJEcYz8LtmghqlZTGLgIljaiW4wtZqPRZcBIII6
C86J7LVrDO0l01rYHenSdKPmBS8WKkxhkD62rcckXQeOkq8Rhk4McjjdLlov64pFyOIWEjmiXmSL
1I1X2tBqcmV3DS+Xhm33wfnu3/pa1G8q12leHI2osmXo69MJFSBrLOaz+5ogchgdOAQ5G4Y9Ip7g
qZOdwT/40XHOc5ND9wXnQBQTvswpYnGGxYHmy67ckxHaPpXuaEZyoTdGdYD/TvUHaFcdW89xzl/b
TvNI3cHwQpNq8SE7w103kfOeWDpjWg/khKwG6yE2WvL/8LNck7jLKNfK3s2q8YkGs6V1Ba76hAmd
I8dOTyEhBu9DU+x9V2ULxwYUTzsA+lfPy3VZiuRyhIKxFXhb+AOkklzl3OiC8Aivv7QVIR6mqcwV
EWjmQsF0XmCM116SXlY3tWkNR2FXIkVeHuXPOA27985Km6MEObaqs2LYznXJW6qxoeVXaltLMbqw
oiHndN6a9V5EwEqHyJXHaX20PBYr0EMiF29rM7liprpg+e2z2rc2Y43wcjVMSn9wkrbN15VTyTfR
uiENqj+v+0MR4pVLgDGxjUtblAVe5PbYvQhc30LB6gik6PT6OW4iSYBYzdcVvWoi6a40XcjbUXfu
5BDY2yQhwnltidplr0VWzEUT9067mG1iV4HMxZ4Sq3ghuaDdtIQ7rIpW5/sK9GQsuFmS/MWySVfS
9Lj7ahJ8tmYsxIjfZTh/4VWNcWrQP3IXNRC+w6mDq0Ldhac5hRvOD8Q15Svj2OcGgNCKqT7RCH3i
lweg9BpJAb2nzTKQIQBblAZAUbQCIUUf6e0lQonxRjhGfDeknY7eoTGY/NTIqDeqaW4hFfGwRkN3
EdlFtAIdaJqnmPmvvfJRSTXLXsSkz9mZCJFOEyQDPNp975OheoM+XdLFTBpWUtH0c4HJkmidJVi+
R2NqEeRCO9xDfHCLhU9+z6lFgC3g3acgZQZtclk1JUl3Aiptl4uecwSiGYHd9pLypH40E0RRN6zN
M7FVPPRvuGsnzNf8BoK1X4BG65J61ovGCCl2pO0QVj4gpgMx4wrqryK1vLthQElQVC4racEs8OjV
EtVs5Fvl1iucNLmoo1EOS4727BKz5vBQY5O+ReLuvlSBl2wLJ8TwRUyC9i4MEue9wq3ybdXUjHOh
K+jWIjIm9LAVqtRtDL3t2ozDKAMdE/sAJNzyw891ES9TPdT3pZeQ64jaG3u7pQBqD6qKrPbooIJi
bPnftu5/IiCls5gNL/957XERN5gu6/jvbd0ff+jPtg6goW/74rze+FtX59u/uSj0oCr8HdKi/+YY
YA/YQ3hnwiEv/pepE8Qxkjf+D7o3013+zdaDKfnnrQf3OYYnJK2e5Vq0T993TbXhJBXqgugwsX6r
GJOEDjkdIgnMcVE6onvWw8xlZGkXtzERl5dTT/FbeZluLHNfJWsDNchd0soJy7c5yKsIqwPBPVpO
fe7W2EiQX7TkbiyAijCatr3Bg5oaIHBYBLJ3N2NkR8cu7YuTHvoMVQszPZUkoFzP07ttpvsRIifw
fYI5dbsMMy1YNeD1iISJ6r1kn3OhGsarEyGV2tJC7A7knyjPozvgtJQZWbyrwQ1CJlqqI7bKbHdd
TjZVcW5O52STvdLfpJyKVxgH3sUkLRKg6sFr13SvTJQ7Z9gwxib3IBhAJxmOz+0WBYW+N8Cv7RgD
au/oDqsPd747OZS9PTPn+ls4MI9irM3dG0el2iJSqW9FI/pDItnwox+F57/ECPINS7bOk5uVdwld
Cm062/zLUM/DY1NO2jvEBU4LoyzMS1be+X6Mq6cOdNpt0pvOVkZe9yUq2/bO99shW6TaVL+JwA2f
ak2ir1c2QZGOE5IVPOVsUSGcY+NAzbAwAafuI4arLg9eo36tRnYwS1P0j9jgiC5VefrGzKzd+VPc
bmCpxe+TrtITYrwrlOr2QdYtIZ/BNB3LIO0gNrjNxh28BpoajnoYt6Mya77PUD6hYWH8yVVS/G0g
NgAZWulxZPOxrIvM4YMSUojjIFAnoEHaLiEEZztUQXpf5CJ6lG1MK9bnpcXgbCAJJnPsxCAe1dZp
MU10T2y9B7mvUNtdKOFPwPwKfS6QDMKoIggaFF/zCrtvckRkkwWej9y6/iPGh8MKYLBy1mXpvM5P
ohxoH6NnUY3uKcTSs7JZmSzMGVNRtlpyMjXLGJeShkJbFFQZIwi2MnwI3Ml0Fr4KxVs19BgyZGkT
fpRiKS5KPdtN5cQmvXNJNy48RNFTZvs3YUBLxIN2XUZZt2REgDnLvoxJVnrPXUvudRzHPJQJCIEW
oMYt25HhOE2t02wSWKHMBJLgScucUDsElVkla9pk42vV6w1SSL1nK8WIM1h3ozSeWwRo+TLMK3Vj
qLx6qUfif/ySdk7WpNxTQbfjbdO7DO6FhctiUXt+sUPNgVQB7IWY57EEsqjAsB7oUqNjhXTxTTkV
VmemKmO4dOsp3bHC814SV3cvGEGM+n7wpX/P2qzQlmPiso0RLNpS8haaYuNFefZqh5H/pY7Fm6b3
JVa+2kKO6ozf7LIeUacjMcznzL78KQkVCuu0TlqXLyuvn3kkI6QZAWWSP1EQJat1VJ4tuv4T2z4y
Hdr6BuyiDx8z5n6udbJY2PWJtUfmIt44tpFTx+phEGW8EhHd7dS31UEWBimQegMNyWIHy3UQPLMJ
yEoWtTW6Sw2f45YAovjW7DR7W8Q6Qx7NbwOxFm6tP5u409aT4DDtTJ0JvY9CONliFkv3TLerSxwq
5PT4hQWTmTBBLqybJY8yTljfVQb7XA6zQOF0HHKPZUFfvnTuCDlVaF6DAMcHwmHrY3Mlmlp7L8gJ
JmLJSLrrsRo1Dpcp8heFlpBH6eMb3VDnVy9OP5LuS6rd8yhy48Jq4iBbt32DV8+yRyCUPvveq2j0
A9LwzBLZXdQH+8jUehNIYgm/hmW4J/3+SP8VL7NUkgrC+FjMc2RSONIbZO3pCnRHsIeHGa4LA4wK
YTn3YW6rLQRSzH3nATU5eQyrUbjkSzx2zrqaZ9nTeazdzRPuYp516+exdzpPwAfdmPeyIq0cZuOi
7sv4cToPzUdXEIT45JHvzfgD0O48XVfnUXswBEDpGUddGQk6R3Ru9a2TpfotLt6Q4FYyYFxPTvsu
7B9s6JG3FYykW2U0AVamOAke+trJnyyt9lCjunl/iMZQPmAvZWjR9NxWXlzm17i9smv8wbBZw4yt
YyzFpY8YZllAv0SgVJO+a/C0Ww7ZGF8qkyy3ynMrIjGbjMLQ13m7jtQ2BnGD3aJJAWZRf5v4lurG
oYDl7U9DazKfIJyOmrgN7oRXO/uEif49kTkeCi7W5N+s2cJOfilu9nY2to+zxZ1pIWb32fYe8sHf
y9kK34+1jW6aZc0wG+Xl2TM/IXDehUY6bhJB0zUYrVpXbaDW8uy4V7P53mwn7PNMFpesnK+rVNUg
VjDqB2fPPhFzwW0/BfvCScwLUrjJ5Mpni/84m/3D2fY/X8/7ekYB+MlU7zguXBjGtXaFNghmAEI/
+yb1p+grAot4Fw9aT+5INdAoQtEZD+OMHzBl3W/90ff3nQGcgNzi7LozABZwP8EuyGeMAfh0iAbN
mW4wnUEHZ+aBmvEH/ZmE0MxQBBwmBv5QQAlJlYorNcMTJtcf9g0PxniBnPkyh7Ggz7AF48xdsBsQ
DPEMY9BBJ+2bGdCQn1kNZHnDbYjqmeEgUsvGb6C7TFsTeR3MsAd6Z5AureE8A2T0rswRuVOLxjdf
EIIFK2LqUV6u69o0i7scmkRs5sgmu8iLymPFvhence6Z0bLLev85noEUeNub6to5cyos16+0xeQQ
1cJAjqXeyXTamOfY75ALRhAQL3jwc+WLGYRRQ8QYYAKOG2vGZJS+4y6jHDLMMoGiMUG1So5QbZts
p1oterJLy45fTYdbHBmi1O113U91CAWO/fbkXKASx9CzLZA76urAT9as5cHFRqc1r1UwPVP2Do+A
3fP3pBvMB79V7j2T0vIAyvq+IvlrnVlVtmcrh6tadRng7BnpPqE/UR8ijl6T1nl2sXq/WcWcAMZ6
GGOcjXfI15Kd43rpdWWk615k2okvxwQ/XMp9Ltvqw5qw8xEfVknCnyvLQ9mv4nRXF2N7gxcEOLEC
xccIsCYv9d5zFF3mZE430US9A4GjtzPtd7/Ff5div1iKmaBqEFP9pHt6bZrX90g139q2+a6F+v1P
/tFCOf5vMOvoe1ybPoYlF8upP3Zj7lkmhiyb1ZQz83Cw4vzlwQNSagnUoTZmNFh3/6+XEsZvgDBh
5PyFffgXCrJPtif+asMF3WixmePFdJ+e7e8+FR/0gCZLrdwBH/lATutvNa/guefp/e8/pP+86/q+
Zzu/kkkXiLcLV9cPxPoU7YeYBoNXMhleZHpJEkpBgGEQqV9t1f7hlXgNvCM0riB1P9kKGc4GE7dU
uWt7idFb6VdNx+bFqaZfOLn+4eJ5QIVoRHk5ndf6/uJ1bmpAZJ9KWPDyA8HxB7qAj4T//tvv6h98
fv/8MjPm38X09MN31DoRfaI9lLtA64EIeihmmHrCKB/i/8Wlm01pkAzxLHk0899/opCiXxQRn6ij
HTwNuoI8X5jeqc6TX3yo+W/6O5qDH56HKxWnHZCSWSP5/SuhsPM0NhTlLurB2ztqvB3D4cHQxoey
Iybx51fwkxtr/u15AAkRzuLr9MEmfv9iGuly3JsFcICqIZy+yepd4lX49rX4VffAtseithb0xu2/
/ynO5A8b5ArgWhxr378wbjqkS1Fe7ojDJSm7ho1g+5p80BL+7eefcb5gP1xQYITAYLBicld//1KT
StQYE46301RV7zJVkrtq6sHdz1/ln36Lzt9e5ZN7kKQ90WkKzAKKIxvD1PDAMz4/nFOX/v9e6dOl
68FwF13OK0WpGvG2Jq9ToYGb+/Xtpf/4oZhIeVhl0TAIkxbq+0vH6MP2yE7LdmVnFiuAMNocVd8O
1xM8v7VPhsvK8GuDtatt73SKRcR7GJatSuSHrrIdh+AHNPneEOLrg2v37kYxZUESWOwVdIM4cfkx
oi7eh5PRXZQu1JC6nIi6Mn2St+m0yaeIaG50SesCDws8/VBlN2Ptm4/SNYu9HSTBC7axkWn/YO9o
26G0jLm/7dFdzTkC+KmakWn7Qs7E/64Kxb5tCftUMs3Xrenmd0wBxEH3p/6dVFR/a7QO790xeJVE
FMfeazrgo64XFejZUsQQkslU3PB+YE6I1ww5+0p2bbkp/LC8Cs2pWLW2sJEoWsFM9VQpHrHKav2t
E9TlptID7A4ogFdgGrRlhqdiPWUcXFnitku3zU22rBwuURjna3R+aklksDGHARTAR3zDOghGb1to
KcXR0Ik79ojQ2Hp+hmUu1c3HMOrs4xASHhF6Rfrg9DJmFm2Vz5WTmY8Bnx22eG+Uz2WGl5H31AUp
fP3SbxnOj9zrA4jieKEhDHxoes8+elqT3Wha3L4EXJpjlFTllaOSD93gO1WgcR4zL/4Ymj64AxVa
7ElO4t0zXz0CYinkpmY+Nc9nWA1cJ7Ez3CZDLPac6O0S/Hm87UKSPSkD4miRmio/xKHFSFEgcboM
LayJiRPmHyzWsB4XCRdRpXYO2LD3sG7PP/u0CcWBqGPvFDlcMkpXPqYCvgOlZlxmVUk5OJl8pNCN
5QvZ8DxisRaDzo9m61PLxmBZTLWTbuOcBp9pRVf6dMxBR15oiWvDNDq8TDn4UdbYel6ftCKeHj0w
JvdDLrMPNorFgc84QsPh5NRBCe1EYuDQZkdybzHLT5Y20wryMIWNKBYXfEcUBBiiU426eQFpgK+g
DQbsZYNZhiyDQqkhpHZwlVfYIkuhT9qyEzziyLL2mD2WnVpAzy2jh5ZOsdsyBkxe/Z6FDcaN7oJt
CiOx2O/SbdMFw22PbeZpIkVia5dkMmx6rTbjTUI3MK0B4EgE4IgMUJgO0nibfPwt5sS9Jci0NVZ4
2psvJEWXz2Ei7KM7ppyhQ8GbrZVmHYjoI8JWYGVbknAvDjYhUC9VaOYHpCj5uh4AZMo6+WBb7Z9Y
0VoH3oixMcJsXGljg4skypwIqAA6TQQiPkNdviFl8ehDVZ8uI6/2VnbkB3dJh9VrFZVD9C0vfXuX
S6dDeBc5LFsN9VQ2I3qkrGB+4it+CBN+mAOrqY8mmDFv2HmWUL+3fh1+g2HjrqJmuMsrc9cW3Ruo
kphIesdcq6B0aNQ89yZS3JQGvdZ6nllcdG3trwnAASXFvm1hlq58RDg5HbGAbrLJnWW0Q9nSUkOq
YRuE99hqU37UnIrIDNMSgb9KGClTVG4qjbteKgRDHZL9hdUk43rCprjL+rbbGvNztxR8bpxzr+AE
vCuvT+zXdGi8G6trjUtSMIz7BJ3QYVD8oiQH6ovyCWfRU2yCXc7Htxt0wwsosKQs5Kp/b7Q6ZYfe
cOZEQno3hlNXZO6kr7bNQVnXnB9OpLk3xE1LxqP1uApYYzGbspR3ExSyPhm94iQ7V1rKr6ttqmfA
W0e8uhkMnhVDqWKFR77exTNIlwC0/j2yc2TmKYgmsGb8gsGY1XF6ZZVtsYl6y+NLyMqrpprr6sIs
jin8ck7yKkImkxkC2AVXJybdeZWh5YSswKmLif25lZ7xTe85rbr5N2LrgAlk0MaXiT2Em25EGOH2
VBKAYVr7MgntTSNAJndFjTQFKfYW/cOMFXaKL/HAFZpcgjYG3SVDSJstuXzDLPj1uiatiFFHR5zs
0nPy/BBMKrtpFGePFnJ6YPxf50CXuOZsLzcWC3vyjEHPWoGpv/kGsipmitSjhSLMrUl3AG1ZW0SF
v83ICL4gV/PKiq3uSUuS5mocADyDdn6Mdat/9OToAeUpYqCGBi41P57WecSCuNTq4DqVz25VZ6vY
ij6KkIWIaOMv3M8PdaeHO9MrtHUUZtWy1a2SqN/GZNk5Ei/kMJjFabEwXR560udpqMVR+lDlnLx1
zomjZ55xH+ssKJYTX2n5+yHriKbcIL4zNvReALsI2GIeJHLGzOmgdplpi3qbM6o0jajsF1gz4XKh
UOMwS2jyKn4iiZ8twULTz/dMPQFYsbTIZZ1h6yLtBr1ZacXZwgqrVl/YAVr5RZmZX5rMzA40/ATr
uS2wtsJT1QGpgIIhno1mitd/KFznOPbmkDET09Oa8y9z++C2QhbVr3SZRNpWxF0WHZjHMZoEZhR0
3kF0gHYXCD/Yoy2pxWvF/Niv3Y9mTCKsmDA4vzHzn53/obsnGLM0lv2I65nqxkbB3gyc66OHDTde
tnXbXhPbydY8EcpHYubBKm5ZfAEet5TBKKQxmhdPAmtZFkN61ycWkcClwSZnLq4FUyp37A55mshV
XOpvOLF3ZZIAKRjREwpbizYmZpIVB0d3g8IJxoOVz4lNLmoFsG7jlvvUZBOXNEjYUQTszEq1a3Yu
rxJP6drtTbk29cJbsZw2nhChD5fs9gtjMYS1vsqFqRCdpNZ0ye0avoepa6iFNBoobO5AcEiqaXvM
Bbq3cRmJSoKOOb5FSHVCt4QstBc+WPaSD7yTqseS7o12t/152TuvaL+v44E90vvrLF4hSKB//b4Y
baYJ63+jp7uKB+jKMXt0OqFCUcaYiFOO0vJytDRCoE2Y19uZJQgiy7SPLZHH8QLkwy8atU+7VoKM
eT9MCAyXCQXN7udGLTQRyXCE7urMeFCEO9SSM7V349ccLmAw8pj7+RWYq+3vGhksoDOwCCwY9Tgs
4E8XQHR2FvZluusqijDYbPC7cx7HeR4VRw330v7nr/eZKDJ/QgO6JuNyaMEWFuvvXxDaXi6FI1MO
lIoZLqdEAXMhB2aS1NlrqyHjkE1EPWh7/fX5sdMXqFu3kdkbm8hINXwnqf1aTFW3HRqe6z9/f+fQ
kc8XhFW+ZTsgeJkkfWpPyiEuNE8ouYsI/zyorsk+Cgvh66JnG6JnKHsottM05UaKEqO9nPV/Cwg2
5VVpUGiTNvBKKZMfPBOS/2jSeTasAjLUmco+CjP2TzlxnifpNP4aMRqW31YF9i4MOJUtQokKVkRZ
cEdcqXi1HIHD1ucfW5ix7s0YYJ9eBCAfHvQ4Tl7OT8U8J/B72U+zG+fn18KYv4sfrgUVJeAqBzfN
53TtEAREwtNL7lonod7WmgK0QBIue0s8VbGr7TTKxoWXROaGhCHw73X7K7bLD+8AETnIU340JsbL
z4rtFhOEU0IQ2Pn021sbIfCxFP2vjoEfJhaI3xlUEMhO+iTm00/fuYpVFzjkme0wIEJPZHOyzIk4
XpJiR5/hyIJlfELzEEmK3p9fY/PHa0yJggYNwICBgOpzO8xqRHR12kc7xExhAKa48E9aEPgvmaI0
bpgyj1e+ZgM3EOOD9MfqA4AUeYVjh+OoLYDkz+ctqwWWLnjrw7aknET/t6P+9k9JkTdfqwAl/l4L
GhrX87v/77z6F/NqaCg8Kf7zuPr/1PJHdPv5z/yl9XFo2LF/+cIxf881/WNQ7RO8gkYEk4Zgio2P
gmfAH4Nqi6BU/ghsT/zHgFtmPdCfoh9yzRH/cq76bHTOM+x/M6j2Pj0YUQ7xHxKWXcNAHs/E/Ptj
GjC2CRpJib2deh4aEa27rHMaiSmIhgM0AqpHrUjGZdH341e7aNyTLcWc7kiNflsUClYjfcEr/Bid
Nb/wLwG8WfcO/CRuqNLJV2Ej3EsW/c3tmHTxPRaJdCvxzu2z0DFeijLw1mniJpyjDj/2pnojVCPB
UubV7GkSwGSLRpVwu0v62jgIHWYcgzTv2HnJg09/cAxcK93iVVhYQ5tfoDCMqUaCbKUllG303xA6
4oyyItMcAhS10D0gpUfAR5zEFYmbKeAGD4hpE3ZU/s5g3gya8i9p+PULY4z1i9EatY44UavaYFpP
t9hPw6eZxUIaiLw2BkddBKZxP+nUWIYTsCeuBMIovSqtD9hZM64JAqyHEdVcUrK215hd2ewmgFQs
gawdtWSstnaql19xjFUbq0auUsWAWnhkyi+VSAB0DGDNt2U2JDu/adsVEvZspbujsWwxMj8WXhxc
tSqCfs984d0fe1i/tbJuQunh1huT+tKxYHjaDhdHN2ngqwCHpD442EYsNdD2hawAu7TDlSv5GCH+
YiFzqoX8TCsT6qvmWwsgpmSc+uWRzSTsKY22OybIUyI+XjV2cJHJMgNepe0JVpSrsCqmRw69altV
nf0R+ujim6SNj61Duh6BZCDlsyi7NiYEM9iHE8l2Ha3/2poS7JtiTB7CMfZpVpyMgD6nPNBg93dl
11f3PnXvxaQ7+gUPa5DFqrZiJlSCPEWlp3eiEOU2wyfks/Er9J2NrT5ZyNSybibUwBchQdib0XXx
wWil595C5MAyxwzGo0axupPTx/o17b57KOjiWIlOIn2fLbyXgeOku3FQ1tFBxkHIjBM/K8+Nn6oy
Mi7zsLRvMrS/uyEah0sIHdaRjXaxqzGoX7WiaO4TWKDoAJp0n2mKDjdAEOHntndpVqX5nGMSuWDQ
CNPDYEqbJKnICLhuGLyIyL5Ky/5oRr3g58g4WtPbNXRc0tqVh9NnZASzNsvAfa2s/ptdDRkqE57b
GINscAOBoAErqVXc3HywhHwfe1z8yEyF+ex6+X3RWdND05TjdtJz/aaIsPMuBsyoBwoCHeoVNd5l
xJ6dXkZzqld4JMk1Sujq/7J3HstxJOmWfpWxWU+UuYfwiFjcTWoNTQDchIEgGVp66KefL8iuO93V
Zren921ltQOYiRTuvzjnO9nKtix8rIEX7Qn4pGOf4+wFVFvOHNNotoJ26JyEvImDZcVHpnAwk+ws
f3It3X5jK9c3qzaVz1xygF0HdcJGsC8KT9FFujmWADqbB0vK7NEJsoMiGuakgrk42inNs64YGXYc
loAs/RjHcB7sppiwW1e3TByKMXmstLB/zCNhzBYN3XpGkrtKKid9c4UxvrhFZTxUZl4CKa5w3zcR
way1ktW9ATB6yFR9rpveS9a+v3Pw0O/B/IsrI/tsX2cPfcCszwiYCabKkg+JCK1DQQyHXmMF72+F
6JtPq514JrbYDGJ096Uc4BplsqPLdi3vrXUnwjArUpJgIbhTuS3mKbybdZnusQywgCZiHpBdPyrU
CgY8XZRi266YNbYOpEjehozQl3CeIP5mqV9h2wlrjjlNMLpfNeIcYli9kgFMmK803hK0Ex7obEh2
aMswriPaWvt07+vMiF9T4grQBGqxLQUTEDNJy28Zi7JzUEb+g5PjqNNElRIhFBrtQ7wYGly3WDtF
pT9U4o77RDjevdAqb8mKt8St9xA0ejiis5XpZYodf+l/YdwhbkxYo1f0VPEln3tGq606cCPOKMN0
f2MsG/NRGpKLTgjHagn2uVAmNfctHoNrIob6ixHE2U2neYXASIc7VobhZoZnyfCqtl5TsE0HBQp1
2wQe86IRceXsht11cPzqw7bq5XLpZvuN+Kz4pWVMm61UnPqMYfxwj40iJc8jBP8jg+heSkZx8O6X
QKJ6xIvGS19EzryZprba6tH0zh60wmQzZmV0Z7nY+qxU4u0zMCrwzjIqn0Kr2+OZa4+pP1cvWRfs
Y0kkGOiQ+T5FhL5lP4eCcWoFiVedAXYRjsZO1WV/k31o4h1jNDrUZrpB6umtesl1G/MVPyNUqg7Q
HcdyReqo/54qFW/yYhBv5MYSqOLGEd4Bkw5FOfess4zPynbFqWo9Y5eHrr6TcZEdHea1O2WH+iGb
Bu8lHDwYyaIWTxFkaR7ODdDsTYZCK+I2N9R43wo9T3jpO47/rmln4sJGmxmRNUimFjQv5B6enULg
V1sVDYMyWMe/dBSyINiWEy0WDx6YQu7+JAmfO4dCBEtinU3rgsjChzqss0PJsIuql3Ep7m7dDODc
Aq/+6S/Kjn7ReNhkomInyLfEJyIBwiR/aJGEOIs2hLMWmQjcoe5binTEQUIikJKQw/ruIS0p5IzE
fh4qHg/dSbMoUBqkKOaiSYFd6TK5S80vKUnXn7Qu4yvy1nfvt54FTWuLugVexKJ1qdDmoHzJfutg
KLVgYq+AzCGRic2ytbdAtCPc8thTumHsvPu6rSf1plXws4sxCB2yniH7uwGXBEpFPwNrL8W+m6h6
9jmrmytiaaN8rzhAqb38fiOBQu/qdArxARigjfSQmBuKvBR/5lSc0Ka77xhg668CtXNyH4xRdnYj
RzbPXYTZfQ9eIZsLzCDDXJK9TrTjdw9mrfHi1MHobCVSsmJZ4qblsXZja1MYYto3flnseqVftUuM
cjOG2UZMvJNtaL+OhjkcVEzkNOScDsFZMe78zKWczKJT3NiXDjFHuBIG9Nw05JYx3N44UIu8FDM+
xAgY0IkbxHiKjDi8jAgAEKfK6daTSX9reDdP+CpXCJiGD5vO6NT4S4KfbXR7WYyL3mspt6zZ7PAi
4emJ42Ma7FJXMSLHMHPwMvwsae3Fe41pmGgY+yGfYe8mtREeZztsj10QBKcmN+NTK8KLkhnTcFdW
lyhQ7WYK3fprZyEN8MATYmzu2X8wpSTTXgTLTJqc4cAm+7iMUi4y2Fhrh7f50InKxBNk5ntHBOIn
fkTKaAQU0FnICrXkd4WM0HsFFV+4+rOzF3LsS1CTeNaugajBi/nd5v+niftXTZztSut/6uKO3z+i
f0iLkb9/4289HPaLP1DY8J9EZ6PUMjz8Ww+HAAndkIXM56+2DTweDBsFDnSPvgos1X93cEiNmEH4
ODoQKTHiFNa/Y9sAb/WPoxNaN/o3ntbymbHlPw3aUklcq+MG6kYSi3EMKXnqM6fZZG4NoI0Og+XR
zFOLpZrwVfY0x5Xjf5Om+yMqZ+cJRzpKRVnSs8GsYDFuxGckVwgZYb8BLYT0AzkFHb1fbgxrntpH
IzOh+EXhMNQvoqjR17K1WEJiU59s177nRL+5ZoSndqgzb4fzrTjmwWSxuu8Y5hNOsCnyzN4sXe4u
iiELbBO/e0hZIzcr7vbgkllVddEdWNFJ9fXJ9JvhO8rdr3beet9t1kHvmETcvaji6muTpwKmf66O
ytIfVpOwvRy9aKKXM5voPE/ReBBVaTMD94xbgf9/pGbpd5HwJGpnxAAhmbhuxUqg3zk6a9lvxENy
xyzYfAX1fbE7q9qQuletdRyJx0kX5WPb1cWmb8Vr5sT+y4i6/Y508oWU6L+Oo6e2vZiI3OjzBzsx
2Oh2jXlr8rw5MrkJ2M7GVD19ORwdFcVX38g+/LZ2Ol5rypdKpWdgP/4+K43+GzLU4DgFjrUDVZVB
PySmnLWr/GHJZTXi6aY8EM/yo8NgASEgHt8c6XFRhiDGVnXlQYTNM+8rfkq8ti4JNKNXvuZx/lob
PHRRVxCJo6F/D1rD2VosnLd2GkOarpbC2x2KfskB7R25smKfgn0ebUznIqqOyyfype612pFiQn2E
kD09uGZHNgmXJ9dh2bvcHGh696K3OIqrDFMJMzYZPtqpTO+nSc93ASbCdTTb9SWyqFkBX44Oj2KV
20X6s7eTrJmAyFjx06B0dnHyarpEk7KuSKCSHYv24X5o6mZXaD1+tjQVGBCE1a671MAapzVel3Cw
5T6nKLs0cxAfRqfQlzbw5pLadwi/EydkrAmtdA6RbItwxbXrnmXlQ82KW1fA+MR+pxqfCrZhx1+s
a1hnRLLr7os1ThAlamsyd6mV1uQGCTfemKgodiAs8fMbuUEMB3Src5/TuiNBtTvWXnXZ7Hws6iBg
hwvNbXWiltIvYQP5mwQWk61cR3i952X+gTGEujSO8V1hylpZUbTsdZiCrKwGRT40BNa9FqjKnZsI
/xWyQ7rqGxcbThHfgxbG+B464huSlGxnxlJ94mOcT/NIyMta9ZFCjm2wjJft8AZb3Lo30sBlrkD1
R2ikH66LdJjO5WDgt/IwVpwgGuDMAPcZbbH0zPcAmsrtTDr9Wqmx2ADiNo+aFuMxw2a297Kh++Lg
/HzAQxmR8xGkpOr5YXw2KguzDKZ2tj0+fxI4cU+sTIDoBL0N9Wpu+glMWJ8gUqfdiQdvfunHmjyl
oWY7wDJpE/kTb0lrB9fIK5p7hWNABl7zjJdSPfpWd2gKa74bOjGwNcPF0fG1XiWZOR5xPAxE7ihS
aXPT2MpBamy7lTc90WdXV7BN5jORtozdhaw3hkpJLBiaAdJYHAVHpvDu05jUOGZKvbbGSlxz19iK
ohweQgJOLlMCe4PDU9w0TpF16ZC+hO+DPDwBvSy0aLHmWn7HH65ulY2Ni+7DPOaaHWIsNZisojJx
wAfhnhjOaBPE1bPhVhPIaNNqn2Y/mn6g80TLbbjTYUpy+4EOcuFeUrhtLAuBOMapdO92Y7WJAw5y
Yc7tOY668aXIhL2rqyJcK69XVzEWWJJKDiI/jIZNkPreu1WK6DBVQ7aQHvDx2zRf+Jsd9c4lOB9s
3zd+SConMH2RtZ6U3f1MAigHthOXj5q+GfUBzhvCHT/COQ+3iLKhJmC43ns9OgIQTHX0bs5he2ny
7BEISHeKfHo8q2kYK2GMv58Lp9wNozffC4mPTuMArJfdyUz4k2qY6pSA5wmX2oBr7zedG9k/KHv7
7eCOnxScPfG5LqIYLIXENCrHuESGXaMHc4ZXvGXx2kZ58ai8wd+AQ1EMbyK+G8DyNrNDlIuM0/EK
Rc/gwKLQHZzY/ppm6Mc9t45vMigKxiOl/BiAEGzoz1+CjiPdHCaT6CkF4k3gRXsiG2tE8jZ7R6KE
H2chj5g+BUREVJvbVCCgXxUsQzZu3D8MVRq+GqMDwaHLNaqUArFTpqdiZcCn+iJChW/fqt0TdIPK
4wQN/APnprHWrbhouOKP89zdo3laVgMiOwOLSdcOn73nZGIBzr6JLCFFP40R4KLmMDr6nvGYwqeA
It2U3sqyFg1AEXrYLVS3Cz142hiICSP2ggvolhSbssaFJHBAFbMARof+68gXKtp1OdussO2SlTlm
QFBo9S+h03B8D8HwEcWi2hu9UOe51+6nZNwGrqWCTaabB2A3ztPs2S9isvUt9YP6wvjTPTZgSfZe
5+I9AX7IEj/qTo7KP5I5aY8RSdW0PnG577spPXRz5iq83qE+xSZGFTsO7UfiJsr7uXbwL3Fz9SDe
H2TIaM0AtXHB3YT135JB/yrj2Dhkc+9c8ipOTmbs7IhJqZmPEjei7C9YT+yV8PJsC0YmWLlhnz2T
qF3tu9ar7yoPjsWoK2sn6uCHl4YcgWEU7T3tYzbHAnXQZTZfIqyjZ2ZNIUZNHa9czfa5mjPAjMqZ
fzoAwwjILGCFJ+5TGvAUWsman+eHVTOxrj2nKo5A+TWg3VnlpR3dJVV5yQZjuo4KDF4g7ZesJlC7
Thgi2EbT7+MmAiQ4psHXppvGPTkNzdfRKOBt+p2/LTH/H90h6XYZ0IkBAcEKYITchXD8UhsGQQZ9
0+icadNMFuRkL5lPBKiuXIKMzmN7dkv4rTTXOWlOWRmisRLlOhJu9pIQoP1EUZWei9rjqndk4K7i
IcW6VZat3PtuWN3APOxytdjjRwEbBI7gphgdYx8ldr4TkRle3KTg2AFtyKo0IX6aKZC6rx3oF5Gd
Eczpdag+EnK3mYF/hV2SrEuSVWCakDZ1Vw1usk6dRp6Q5RU7VsvjR+cBRlmBoqdISekAGQOHdbFS
cIE3TjmPnwVL3a9q6tcIOfVHHvrBhifyM+/yepfkhU+4RWE0BEUID2dNahzCuYHvTr+G/l0yJr9W
o5ky87EVJuGcGC/DDvEvNebGBlLHlaZY27H6HB9J9r6j7sUhJpjommreiaDiBh0CoNScA2su4Yrc
D08cAssQPz3oX6t2yhhwt8wYS/JutzJGpkbpQX5Clj44qFZZPYtphMKEUKouzOSIf7r7uszFDuYY
BFu36CoaffT0p0Z3eh0C1tzUQ9Zhh8RQ/VZHovF3snPJnJvFA2oVUHPDFCY3ObTykwFMhv8MJIHo
zWxtwYPcBcWcFfLJGwl5CzZoYqLyM+7yXtkr4JF+/uyOUZrap8Dx4vTcjhhIn4ep51UjIGckc4uZ
N5UyyX1KzhAjMuniG0aptnH8OIUzTZrKxkBKBW8ynMYfJFZE3wefZ0iN4LzxO+VXIm2Y9Zp9dQym
gD2R7L1xI7QXs8336mtd8dOlVuU7JscVaYbNjkc0CIr0600XEj8eu+BnIMmMxfcmEKA849E7wlSb
+Qazjru5nXqeI0SvdeOo73ZWITFmV1GdA9hHWwfFz2OT1yQuqrw5GXlF1v0QRRtFkl3INGDoDnbW
estpwCSiLk34X5Qw5qBRF4RxelBNZm9hCJtnUWj71IiGEsCB+e5l0bhx1JRbK9fg8URalS9j3Nuv
WuKlXZQGOVwNaZAkIzIgg7xyj4PlkSCctRNc1OAuTDxeVoGA+Gkc/HDTs9cGXdHNLLSq0FwzwdCb
xsqYzGkHzxM42QqtILcw+LCRaJFES2pkjaThNOZJ8hwSMfoOLUTRMzGinYo5fALCqXfe8mIHeZTs
cb4udmqWOje0RgOO72Lst6qrgHAnun4Kgly0JCLwo93sO8dUN8VjG+JPDWHBfcE4J99k5dVvRYmL
OnfFxTargVCTQhgHyyR5d1X4TEm7Xpxx91VPPWOrYgM/rHCv3RjZD4jcPqBBZSk8J1KFV0YkiLIY
BNd+jAIIvEcWqLs0m7LXRFTJi4cpFPIo09X11ElzTyvUvqRNB3XTkNa6Mm2s93lYAVgOi13SJHwJ
x6bAg6nwRK5oPah1lh3qJoic4dtM1UfFb5BejcVxuq/xlkZEL2TxYxP6VGKI1fACLyF/GqHH1oQf
dhxSkM3RPCcXh2nrMcf1cMscOgcE6HyYhPEt88r5JUKQ4qzYKPPHWROHhnDSiYk9EDw++YNYz4k7
3xkTNvWsq4J9a/bZI4gab2OhUMY0CroVV2B4Csw0Zjpvsk6NsXUXSSDXCW1ZSf+5FLLSaS6ORXEd
F8JZTjDQLFM9wB3WcZLXb2U7ePmdTBNtbTOw6ta1ltwCrKSArq+7SGlcToxE5u8k64nhXv4y6EUl
/NWiN6bXthir8XlGY8n9isYSAcZ9J7TloqDtXNOt2DQ143DmJWk8b1eGdUSYq5Yli57/k9u9juzW
GG+E5uyh09TPINrGL383/rn/rXz5X0WX35dx0er/+t/yL0IRyIGOYFWBWoPhCovxvwhFKnz7mBHk
cAsN7eDoRnIjgea4rNQMj5Cg8KuZW/s+MU9W6uwQvO+cSG49N7hW3bzVZbvlT937c7JJUdj/z0/u
L76K389NAV+0lYus4K/+qFwSIyoCjKlV1dzciloxOMT97d9/EACTNpl0aBDcv74ATtKONL39AGtV
rJb/lZHtCrfc/XqY/4wk/8VI0rIIC/u7d+SfcgiffxTFD61//Ph7D+TffutPaYn8A8/QPxP0xR98
YgnJMjEhIi30mFb+P1kJcVIw8oHG2Ag/lnf1T1mJ/Qfzw19eHc/5t1kytst89R8VZaYPFNS3BYli
wken8o+yEhc3CGQzJNwG/EBZ7dkgkQmzRQHO1AJQkydhW7nmcGnNCaeFrqcNXbi1d8PAPdQ5otbA
CXS+ZWsib7q21fOIAHarYoGiJFSa8q+xtkhIxrcctO3Cw3WsD5+1wdGsRLbufGdYgzfmfg3c711R
teDLdbgnQpdIP2wLaxmk7ILJSt5PvaDQ9S27RMQ7ar7K0PSyYiG3gdd6s6va+yjATB67EbopdEnQ
VmQ9i7ZHl47O5Y5BoncoyIp6NiMwzqte2wCGLVOVb5Hs6j1wiPmk+8yPNqGp1LfAcysmcXmVYd1p
wvBaNhPXTtJ6FwKxxCPTBnNTZO5D30n/KkCq08qE4dcs0ssaPu0PMxbpTRpjGQkS0ewbNOiHIWbL
0VjTQ1mVtFFEKu9woZIE3fXyroDGGhbw58oxvTfAerFKowmVbPu2BGGXqy6tnaeGyPDtUNtiDUnL
xqE/6mOnZyDwxixPNu6lE5T5apua9byOjGTe6ESU11pFbrStPYNLCybCs4wrG+sLSdwhJrC9Xcl8
h0DS4V/V8wN2MH118a+v0s58VmM+fk5pp7assajQ3RR8eYqEfphUtlNdCVCjGqdHO07cb10wrqti
+ipyJs2yspJDx3J0b5l+8KUHLb9LkoCgg1il07WbzOQaOjkwaw/fx3oc23xLN9dvgFt6qOmbZlez
g9pMSBK3DPHhXtL5rhoMYt+8phh+hki2d2ghRm9dBzm2CM+yH+xpYBDJjOcFoCkFxFhOH4Zi6Ehr
7IirUaY9tifu5JIhDVR1n5V0xbhwpcyAodWceqdAqOLOkn15zQb5EoHOA/9v2fUBSEL6MJY1HLDC
6u9MGHRnu8b3BA7ITuD6SyN3D53B2hBsY7pIRjs7BXDdjcNJEQWfFCbDyXlsrF1kVx5GCnBOKyrP
/DB1SBgKqq5wZdodc0wMU4RWDcDgWITBo9GSGdKI/PneMJyD79Q4sYDDXBtlfpQZfcKlplqMzpXM
XhXkjse8dLiAPWkcddwRRLcnkg2g0ar3h8L/nO2pjrdoFea7uR/1PeN8L/+EmRdguSko5Ly2e6Gr
s+5Ba0TgbZEMPduBBlzTYNeAhe2fGPKb7B5+0XGrSFWP1W9obrwAdFljw9I1f4N1nd+YXWT0pXsq
KGih8MKFp5PnoOR1zxdSbwAfH2ovlgfxDiEfmK9YuL7QfUD8Ug2Y8H4hB8uHYlwwwEgN2OTFs49z
y4fDtuCCxQIO/oUQxjXH8JeICwn1vM+Q94rWT765+J6Mg1f0JDo5JX36CtcB1qO++5VqOkadfR3C
3P+STxURkdIlLQtKrwyPMmoFEqR6GO8LcDbfJ2JD0r1JbAL7/al2WTgYsZ+uCCQgJ6RwUh5yzkJK
u3wUeMXCuczXDDBRMAvQKHvOPjStbRowCyOeOo82KNkTXC+EiJV37m8m3PSbELeEj4pNuZDjQnd0
wy2R4upuZPqwc2wYLkJkiOMaB5TxWjGbeM4WrlYD2wGeISwnis/cH/bJwuAiTKs+prHP9350go3z
C9Zldpa7p8BGIASFcV8yorovwHvNv0BfDU7iy7jQv4Kqcnfl0IIEy7BT86X6hQrrFmpYi1/w5AES
cxaiGN9V4GIyVPG2CUvL2DF7F09uhqhCmXqWa2twDKqWorjBzisfvd5Vt1bV/TuMV4BmuDbOLN8t
8vEauUkX8QJODHQMDNPQNOSLvKFG58AdtYjnbLUbFhFE/EsPYS7SCGynwW5kKPbiLMIJe5FQiEVM
kS2yinIRWGTGJE491donRCjnnmnNRrtkS3F0BgesmOItdWW80QzC33uJG4X1MXIOrEDj2aXTvNqO
iVqnHtNNNUzJVwBX8uQsohAbdQi4VHs1/lKMtCA5SRpchCTJIilRDNW3qJj3Oiuql5mm+8gqjX05
vcve6XN0KYkchvWsyZAaFtkKUlQULM0iZoHIWG2xmGPKaIAzDovoZVzkL+YihIF3Gd1XizimX2Qy
9iKYIeHL21U6RUUj0alxNCKtsX6pbPpFcNN7ZnuV7ix/9J1ZIqNCmMPeUh6IsbCYffJ4mHZDeLlI
eZK4qrZoULNbugh9mC/UVyQmzb0D7uTiubJAwlUklzQaMWNZUX9LS2cmQTBTyzjva72IiqZFXhQs
QqMgkD7/iFZUAosOqVskSeUiTtJjhE4pXiRLToJ4yTdV8+GhZ6rJ1NpY49w+NL/UTvYifMp97T+k
ixhKLrKoQYdoe8ZcoOGBABeJ8DVYZFSyyAXFgwvZCP8NCpBFbyVQXo2LBMtuwurqxLE4W78UWtz+
9WZEXb9ZMrmShbnzYpgMGDedDpEZ2Rig/UX0pX/pvzAPgaLyWUQs0Zjo1klMYQBKjoUM0XsJ1iSW
Ryfb9O2mZJr4YY4eNYUdQZRzRcJJ0JC0TgxKr6bIfWJb6oVceWEOVPJZq6mKH/5T3///USLtf0WJ
XOr7sv34+/reZH+PPvvP+t7/w/YstN+opheYg6Ba/1M6vqgOFjG5p8QCGVH81p+ME/8PosTxGXA0
kLhMB/vfNT4BWqxnLAejt0BAvqjK/w3puGQR/49FvgDCyHSBHtnkCQpT/sXiY3HA5K1diDPzmTKq
uzUtq7EZZUFD2sqROpE7jOBjq6+YvQHLs7aqaq0fI2pcgvfmuFhVULpI1gtsv2STin+RtG3b/iLx
kyF105LIYTN8ycfOXcehcl57226vTDFYE0GfDHZxSeAUszbDvTLBtu01d5bP0oHInkPTJsXZTcb5
gL3/IWta6xsj/WA6C10zekSv3176xLeLFysNOvei53oWaJbUADvORhf9PZmnhkWNJgNHlaxvEoyM
k4bKBhN9Y1EtY+63unfGlkM0MpbKmS5asTMzMMzdCgmS4zyFkLSZX5iYwLdVFsQvMgJmx76tmNdN
nPTqyCpAf3ebsn5im8b+FNr83hyT71mNRTQGQ7XWoo4Zy/WmuU/M+Hli3XyP3jJIDvyIdYV7h96d
5Wt8aAsLFUWD6WzbSuNjJLVvxUwqH44Nq6KF/2RtaxikOFg91oVz5NbOdsb78wiX3rn2PiHkcL9c
eewYk5bndqa0nnPPfWKaGjw37WR6xyYgkpClYOVk50zbgAndJkje+oGYV8My3XWK54rXoOpXdTcW
JwVO94y4lteyy5nnmRDdUY1P03Buu5ZcISMko9uN1fxYF0g/xT4IgYmkUlHuNNOwMtuBTecwFxvq
FlbXdlATLjgFwYFFhPlWzYSvohA05mdkZ4RYtSFOOih5wsu+xNSXBQFRJNQLdLO2ORrbYYne1nuz
Syahj1HosHjPE8Qc8iPUcxPyzmXQvB0WoLm21yiz7duMsRTKfwBZAaP8Me7nRw992NZnLcHKsRwI
XAD0xmqE7jFSTPuargVqn83IF5ixmsM2m4N+3YxetSoM9zkdHWpU8xh2zdWZvGQ1Q/R2Y1ap9Vzj
xEgpoPLg5KbFrlCpfgH9+DBiKKQO4xmGAOEAqU7vUgzzznXjgPCx6UlkiQZ+GUXbWdXJpc4NuMAO
UVdEUqMiNQpow9hJt5rQ4FXObuhkdxnrVq9kKZ9N81HUfDVNlZkv/mR+LdBUrGuy7FZJ1BoYhZN+
VxZu254cCzy5jodvDSnnJ6CN4blWbgewkCuxQUReGv5a21W3s2cI4qlRb+LcgDpZG6j1KokQm3XZ
D2eu32BUQIgNSGVStZixwTUpUa62N2wwg4WXwhkLRo9TtScy96mNkYnIMpar3nSgMyP4uefZJ+fE
mYxmxb6blGvL6n5AUJ02XmTx4vBlO9QVDbOL66sI5/ZQ1jVeYueJluYx9eILpRzu/g74qjk/xwqO
mdBwp8PhUSMqL6DnAS+ftmHCqx+S1Uy+7ouu6703jdfENIiZcrpx11RZu+0DisgwsL8ozOKrocj1
RubZj8wWzcosBgXlJCJQySA7qZYS9KHSq7p1OARj72pX7HYSJhosHn2JZtq0H0QHciRn6rx2Gcjx
2aq0LHg/1N7UIAYNaJUHr8k+IePFq9oU/klxXCIDZWk5BlZyi/yWRtkjcotvhXwIo/qB+CXUYfxR
c1ncRqiWH9lymqVdwPjVA2d+rph9P8ZmjRq/ournDWt21VgtbozojQjmHn3Y+DNq4eRT7uJaRrLI
dNqb1oRA+ydcfOQEc6w/tNZQ4QhQ/pEd52Ogmgdm7GLHMeGdS9JhiB9LVfvKudJtTMZE/aqy2uSW
mF2/rsnU3rPccHairLubEzrRozWOPmhB8Tg3Rruxk/xdhyb7DL/DBE/oNaFWqzEhUWQu9KNWgDMX
W2/QiWSXWKnF0yvtj8iOb6kVcTuQwYhtwt/HSfucgYXYmfkcPA3pcK2MullTkCUvrpG8OCFS5Mzo
P/Tsv6nQPJqdo/gcd9Uuz8gZw7a600OzkA8pJBMCk5PavpkyrPeD13wWCHK3TjPrg2jNZzwaKR/g
FE91jjXq7MBpvUXSeuz86pLp6ItKTcIGsxn+JdBeTtotFJOvts8yEc/QOl3O0srw7j1t7ZnKj48j
bx2udwTqa45R72sahPItY7HDjsflq2bYcCfc/opTfNvXkPmoyHdOXy9dHGv9ugcLSWRuGa3TKfP2
GPPnY0Sie1slpz4O0n2biZh0AoMA7N7YcZll6znAQOBh386h33b2p000BAc2ttrbNAv7IcrZWc9u
U1+zDsTHNPTltkqc6FsFSmA9mN1ljEkMKIbsRdr9oQjKq9/PXKyJDzmlaZ/6Sd+wn+af/VgcqHrf
yD/Itj1/D7SRMkX258bnfrKOEhf1zo4CzyQx0Zlvo2OzMnWCutqg5ZdnJ3bC3WSgOdJdaL3TF1SP
lpApEoumpfnw4BKu+9wq7gm/xKJeNqwcWu61Kh6Kw1TSGSESrXbsUbuLGRbBOjbp0/xFys6e9iUy
huV6HgD6KqKEPOc2ADb7YmBPuxNh1Y8be8psjOQTzqZHRIje0Wd+cxp768UmOeYbe3sjPDBk6shf
dwcLM1smWaDZdjn1B+5Zc9u3/idY23sZuUAD7KF91E5xPxQG8aGp8ZBPUXcHu+xVg/DddaMqT2AZ
Xz1tZ88jVjnTkO1W8udtzCJDGg477LBs/9FVyGbLxrAhbdBAiln20V5lihxgr0rXOUhNiEX9O2hE
vS0E+9OwH9IviDWZfgC3+ak6J9x0DlpnJ7Kyj9JzpycAGoAhO9REqVOtcy93v7guKYZGoMh2cKPk
uQgLgYRIaGQBGegGCxISfQpfIt6wZGWNFhJ3LER8r3l6IdPXbZ58r5r02yQM99H3i/7V0v1W+F10
gxLkQILgygYALJGUoTlntls1pAGIJjvj/i8PCZBHaoQivEozOzAXSdeGQ9h61/lMB3J0/xy3Ufdg
1EjyZ1fVr8bsH0q8O889fhQcJjFbRH9O40vRtt/r1PvkdM7AVyl/0zVB9xIn8qxwL4DcBIHiDEa8
xbDGBRETEt+aFlhnZ1EQ4qc0bwVWKPI/nfqSkDuxylo9XXIwPYehRDrkRvUnacpy3Y1ZLO+rqpdP
HJB63FpkdCACaocogwEd6h35BSmXlzaKdyK3rHOoJmeXUQt+WSAnGDe9zFs4D5P1lEeW/FZkjvpG
yApzwZndKxFCoE7IztnOHa+5+X/ZO7PluJEty/5KfUAjDfNg1tZmHUDMjOAoitILjKREzHAMDsCB
r+8F5b1VKd3szKqHemizzofMlFHBmAD34+fsvTaEITI8gJTY1XjyhoVg+QHIg0UMBQeVNRgCYyGJ
tEEZVVQe6D+yMSECKDaqKT0zOfV2RTUmj6SBys64UGiFBOY+I6Bksj59E/jn9kzml6iSDfZB5snH
uBYmTUsnoOej7/nWTk7OsDLIYAWUgjgrZQ9fR4kG0VzWEXATWxEB8uC+1g4dOR+H1K7xzsT0URvf
KA+WBJ2bdjlQDH3axp11zdPc+pTZyMfKxqXDkVbinMuUhpkXPM4LMsmxZZhPmtJeN95QkVEw5bHY
5lX8yUgY8pbriFezCbhImwavYwfkI8cz4M711mvLw1Jz3VUQizZ+YBqh0OoG/N0Y+euAXXToWGwf
5BBOkY2/FOnXiUhElwJ/p/t8xFXQfIIlILZQJZuNk1XnCY9JlBt+FXFUwdklNZtzutewJ5aCPHr7
IZgIrnAT672sh0+imZ1bzV3uZcU5xWQ2vVNTbYddA/vaxoNqNU53wdA27rpFM58JP+rxJlTVJyWR
HBLBxFY3k/KRG1DKSQkL89SB12bmQtwU1fIJFpbaiZ6aLqOx8K2gZ2YobwH5w1WuSncz68j+XARg
n/DI3kDhsa+dDRhsaOsPit9+jTrfGvmCWEgD0qzs8VYxztgt5VB96uw8i0q4XTvgb8HWBuZN0Y30
Zdby8lKg3trMoOt2ge60V9eP3/S+S6KgUOAipkLd08IFX9UjPpxLj6oH/e4t4/0r7pDhaiJQqkS7
Nrs6etq2Pl8Bypw0XHoYDAW69HFktBt40w25CN8E543S0L6Y/vKaNHDbjX644ZhLyzAv8AMux9gv
xu2iafuSJGSfkGWDkfeN0efNoS26uzazzrVKWR7Tlnk4Xb5d03C8Hc3O2ltYq03hoKfO87NvkGTs
5zoEMJqIXmqhsl5elTe8x0PyJhglRL6w7gd58UT8CZa0JEa2Tr5qmjmGg10e4fuS52J5N/SEXvwG
hlIQiH3B5rgxEx+zagymWqt148a2m/t8ojrTmNisMhAkMYWf6KCPxER5pt2Bbx9J3qzUskrt0J8h
2mRp0DVSN2ff748dV/DXuYMyXdDWtmJyq1LLpAM8oXIZN6lTfSlFXokt4sfqypZlLxslrJICT8DM
MtOuvp/kmrqgKVR2uVvs80xLkISanZ6GAj7WF3MyMlSJxMYi6Wo/TQOKzHFMxyNVdQH2L633dlDb
u2ZekvOkD+6uq4enuVsQu4vgNvCH/K7ONOPDyfrhvKSZe2osvzuY5VycBhHPO2eyuye7xqvtE9vK
GT6/EK/DAT/RSYJLgN/3IrmxFGAf+tXOhXGqvW1RP+0tgZYiHzktjZ6t7WTgwb7C5R5baELH2rKj
RDEAq1aGCHnLdDOHGW+Epd+CnvFDt8nBW6dlfOvCwjt45fzmV0OwqUzv1UtKPjGK2ks9EALa5fPR
6UZUJhP2v4rGKNIKj704+IrjJItgh1sR7naSdxunpgzqFvLJ+fV9AICKe4exKOUep/6dbearLNtE
A63yXSr08kjdeETdj0YZZf+O5crZsprPfPVOzRQGPiCMEw5T/gNuQXvPUZiOi6XyLyPKKSppWy8u
bNXsQhOnhevcB+e6r30C6HI7MmNEV1C0Q5zPkEANs4X61iMfSMrs0Be2Ef5QGBWy18+yaOWpF9ZH
uwyXOQAxtp4tzAWZLav7dtW23+UdX6Mo3E1OVOoWLTGezEkzEIxnEm2Fr50nOyderDIZRFSXxPWe
SZnsCWcz2lA1K6VdqV1t6Ptkot9RSoezjJPOu6HI+FX+QLhUJr8vorl3hUQahXGkW0NEEmtLl4Fz
lmnVoANwQ0zkOELbo11j9aGOpXRTYuw6pKLEklE0DkXLfJq4U0PC02D5DZI1EtddRAH4Nnr5G3Kz
o2+3dwqA2DHrZ5I12vbMEv3cxGO9swe15ajFlWwQLSABF2y4G3DKGoOJXJIJHyaEqLKldewaA5qC
RvgRQQWjW4RtC22Og85Sf25tFOuMYSd/Z5bGE2vngzknM+9olNvCnTh5+RMEF46DUtMZd6CnoiOA
eD6Dbu8zj4KD/1Yj/7/PE40v0nf27dSiRFLW8sk37DtESzJSjWGCr9d3sncI1+o6grUplLXILcnB
4ICTP1UQ6X2jvfaLeS589xXLyq4pX6VRrRLaDyT+DM38DAyagemVIUjU5nVoIJ+PgP58NHgscSUX
X9MWu0ELZipcCXSFKQRNFZ9eycLsIapregGkJFG2QLLLRX7XpSzQYT90LtNi3fZuiWo2Txo1fQNC
pUTaOHIoH9u54y+xkzf40xHBNu227lXdRSmpElPrnpvKOMNeDMnArijEinLY0cVJTmxZiEgXwyNu
3JjbAajj0u1tOGkETbt2d8zKNr7zWdUI6+6NzqkojVu4YCsoXT5pALD6XcWIkimuVkwdct+UVpvL
GQGzS2sO+AvtwGiJ++UzcuKGnsPAJOlm8HwbR5DyCgkOkXlEN/z3WAT338X1tfre/89V6PNOccE6
l8r/9fMf+9//nHwXq7rlpz9As8zkfD987+aH7/1Q8lB+0T/+5n/2h//2/T/TiUeD8pdCm/9NoKmo
f2rD//6Qf5r/dJx8sKgte6V1rTzxf+/CG4b9G9e7u8JTfqBd/qMLb3nY/3jUmqS09ulXsc8/lTbG
b9xhQLEQ5xj04v3/ShPe/DXqFuSTw+taQTA6r4cB689Cm4p2Xa+4rUnLwWHVuhzIZYUNCiqq0M+i
YfSGsaD15DLsC7MqK/2zRAhkbIu6qfonk/UEgJ6BF9vcEqjSNfQxwfa3jf+Yufj6oSMNObfYEDaT
slmlLFpaYV0H84HmzaThbXFMsxqP3VDinGF+KodaNpe6nNl5xjFD+hAQWX4DbVedhFaNOrEV7nyZ
7Th+QtrSnGrNfQE5Ne4JpPSSUFdBxCySPMGqz/ZVrpj9OuSaPsFoxbaMkYXyI4CVCYSmI2oSZgok
0JIaQGw4uKqHpRidV8y3MSYL2Y8XMmxjAlNTOQ2bjkB0WoxWooNXYW6/V0CZgIQGIju6VdJ6V8KT
gPP1eJv3raax1rgkmzAbLuCmauVKFeXAdWjibtrlS+exDGk1v7gmJ0uF1Rij23Di+oucZuNhctN6
3AuZS2iVPQHjSTObKuwT0gJhF3QRk97xRXYQn+IFFGHIOBChuxI+IM244wi5sWN9MF/iMsce4UCf
6RlSbhEdoKuF7GAgAu5uJiGMJvJsbyL3z0KvTCyIc3Tj3nsOciyMtM/ZErPcbuUu7Tu9BH1Jbp1G
RpZ+37rQ/RglV9SmZRy6wlEES67JOhkgHi10ICRTpbKuiUgfmAI37lgdwG4S55eMA7sMew0d9Zwq
OzFH+iym1PmgEzx1IYEm04cXZ/rr4hDYizIflQo+B6AgYK5eKwN94y7oEAkh9GkejRrLJt3A8gX+
xGo0HMEooNGQeOTTRI/MjsW8mrsI7wnW6xQgYdikJepd3VDGuE2Sst0hDlGgNbrgVjktTeO4gzXc
2gln1liRKmZVxSMsNzIBnXQov+m5Jo4Izc2jrDzibrDSfuVu6NBi5EbwFlejQd+ml2OB0aU1n2Jo
PceJ+Q7bK60odOxx/+jb47uO4CAaZ3+JsKExj+AOyI6ClnMVAmEfA6oy37ip3BJ4Zur4X3zXMveo
WV1AqQgWjMgZTSItTOyOUR+3T/Swumvr68sbuZJxRDLb/Dwg/D7ES8wtqGk6QVmNtmAsazQIoELV
19bJc5zypDIyZaFvhw+o8CODkLJPbtLKzaQF9bEOsuSzbJHNboCV0gAHABX2lDD7URIcIwCvICiz
cXDYhX7P1jWEM8OlgM6/bU6sLGDG6A9zLB0c2dx2VRzsgJOW32ujmI9t0ItQpe0qI5+DTR3L91wn
HNaa0RvgBrAPOYG7GB3MVzXNn52yc7AZJoGKgtH0uiJCKMb3OG2alrA0927qscLxtIUDzr7779nv
Ltl7J3rxIX/e4X7sWv+x/f0/tCuiCnAhff3fwWYPqfj2/d+Offlaf/tpRP37A/+xOXrGb4bJ4JcU
gOAXuhk/glpvrzPiXwINzd94hMFh0f8x1P7D1ogz3rAdHegapeB/aTiNAf7n2TTgefZeXPu8BjZg
xOM/74stJVNXcRo+aF5PFT+n4pEThESShnILWYbzMlXjeCFqKYM70rzgk9WO+uRdTYGTOQQQgeam
t6v7YKzqu5IEWCfW6eCi2cx3wp78aAFhfewwtREwq3nk9cKo9Hvv2pRglU1l3OXY614Dq7q4U3mx
tGkfyyaOZOeQxTdVOFlYPXHrZh+DPmTXis8xbL2m3gw1/Hpdo8JV1Jt4opezCPQ71+gBfnfTq1CT
2jhFB1Meu28nwVSv7NfKAiPuCf/qWWo/ZV4TEsD2EWBPmozxAbIHoTkZ4zizQBu53Nk5g3A6SmGX
Y+ZMs9cZsnIk2uXdkcWpHI13NqSXdu53ooQO3dE8/Ayd4sA81d3QuMVK1hNGVdPtN6T1gvbn1YOl
vNMZmuldcVk/AVnBJyKu8SNvavyKicx31kqZtti9NwPZ5ri7xicssQ9+rWCkmWijujJ4J1gJmH5q
H5JkPqMSFcelLDNOfj0fjL76/bOTmQ4moxv15Kbzw9SA8rGKU6LK167NoYY6yL6szt1AH97avKEJ
mjfN3Du75LuaLUnftqHxaRenBTIHMqqUFZs0c9oefFA0K5DWOti2AlNPt5CBKIO0kXk4kOltoq2f
ZVq9DuhnN/pMbgDurDlcn6sBab7V2oV1S7+T5rSHuXL+QeXGCHluPAGNvUg/rJK/5hjZpSjUGZGf
c/BFwCk34x0y8nleYkDhpXTLKAuYtaM3mFDu+Tm2Z3vBEJ6fxAyw2UYBnDrqqcKpoeZ6Cuu0kxGW
z1foScGWEd073pEzG0tGR69j6NV6L5nS3/zWugUXYIQutFV27MPiDN2hVeMTzslDltE3lJ11SCq+
o3WMHhYSks8wLGdXzOl2Yu4QIgqxToHHlYBUCvMplogNrK3nOjHeA2tiPM3Qkll8ecLc9dR2w5Ot
yo+KzOJQ57AdDZV6smIjhXgOGh3gP4x6l4IS3hKN9vVzN2qXesx+EW2N2992royyvZ1cH8f73KQK
8dNkuS+Z180Heh4LnWx1bUyt+YopOYA4keJjXLnHEAhEVCpY3Nj+nHCmyDu0Kza5Fc547CvXP6pR
I4UsnUvaPU1FjFoz40gsx1OV0mYm5Nx6l4CY57FzbwxS1AnfUyLDRNjhH8yjACdY5BXL9Bp7giYq
B+/SRRLZ1s9FHT9XSnOZjtvMk2n50ORK4yupdV9p0eNYVuVWpe5MzGBGVuHccdxVqUF6puvSTFJd
cvKpIjeu115LLb2rBbZ7XPnPQqP24RDrbMfBeVX1zKSxhoMD3zndgi7DtUxDo1kCdwf0gQErCdJ3
hnQkqHEu/yU33wUJLvSlK+Iz0bPDPzR2lgfdmleB752ouQ1YUbKETdu/tXVv2CuTi24uvBdPc8my
a6djPHYf2tSdwf3+DRZ2Pb38BKal/QTl0oXU53ocs3453WQ5ihhyv8XBXtNDrKEl+MFXV8hXlyU2
3N+rgd+Pln9i++FQ9i/PFrChWQ7QXbJtftEzBfY01C54vANjMhFRzZzM0ko3rsWC/ofN9E+e6Rd/
EbsTTGQHraIJIYa0kl+eafI8ZeU4Pw+mLF6DmNVwXY6RZIJX7Dckp/N/+u6vnzP413cHhpmdn3Nn
sP6Xn7+/PmB4WB1Q/yOx6iD1e4wCM02wrdOPTzQ0sflbDAJX0Pz6fstyOXc9q9tfP7X1L3aQ9f0G
0JXwqzgwr3+xg+BsnZYcSNeBkCBal6LyEcO66bpcnGnZFAeSEN6nnvFEMY3jKR/RV3WIxaHxze9r
hZzUy3lIiDBaSDoI1sSSHAMsnSwmJSzfvmsiMmHG3Yr8gsh7Vznjg6qSZ91JqemVfaWTrIUExgZ7
8ovJo8DzFdpwYqK/fqd/cgmBCdJNh2R2nYPvL1+sWWZBJUy7PqQmozmh3+EpvqsWXH9/8zx/9olC
+wEbQIQVl9Ivn2gwGb7ih1yrQWkfaXLezUaGQL1kEYbFn0e9X4A4J4qmHOc7+PfVfUoPNrSX5KMd
WZfXUiUvKCAMU52xueEDn4YnLXCvFiZysoSxLDdZFSYJSpNWmeolccx5zxmv2apszs6D3vUPdaGe
1RrKAV7DPsnMB/LoSnG26+wDAaoLph9sNponsac5/hGL5dlPht0iifYgwOSQzoBX0hppAbILplTq
DIGoDM1huUP0DkbO5HfDK/ja4XYMPeNvOeB/ssJYuNwCz9DRMTr+L1/Y4pFlb2tWfVgm/PyUE4qV
jWm2u9Em6/DXX9rK0v1lNSNWm30KEj1RYL869zpzzlCnzfXBKUYCoIkNEX+3YP64k355Ds81wLyv
/w7MXxPAsrQtkGro9UEEY7PrM1r/dry8ryt9hkyORkZ8Kkz7EGjmdYoDZHd1edJU/JnD/hsjynpD
M4fpZplbhzFnE08DVqdmri6GkXwQ62Cho8a7XFruQj4DgQ4Drp6bMgN65DeffHJ8Ni4RBkd7zuaw
dKhbwGEjVQ7aZmd2GCmtoDX3wElWMEn24dRcgm1WXEZVnAonmQnLyClQjYnq14DOB/g6HHX5IGoz
3drWcv6b7+RP7li+C8LZ6Mjp9PfMn5fF2mwkHp6qPhhYmzZjWmEVllhNTa3gPad8AlBv86ic/Wvl
uE0Y00DZLEZ1K3Ou5biot3APht0ULxy8XUNEQ6q/TATkoBijO1SM7hVxqctQwEGJZeaR07ESNQIn
sZfPz7o5vS8MSNB5PiqL6pB4bNJ+NEWet/48U4jRTE+bvVUSedpMDwnHYFzzXJ92w8LXuyODRs3O
gfIQgGOS4gH1c7z89Yf0JzcJe8b6j2FBpF5Fyn/cOnAAMASaRjxmfh1R4ijQULwcmz5P3CR/842g
nPnX+4R2JsA1B9ExdsRf7snWtmYLkxKDMLOvt0xXGdbF+SlmpwpwKYWL4JJc6LQwU2WZynMqwKS8
QEYh1RyFAb7zgPF7NbbbwF3wHZc9FMrZp3du3GijfwugoA/TgGpf1cKKrKZ/r/LlQZXzufLWzZjL
LLGK13haq1SCY3DlXdqhjnIliCTKUPnJ3EdT6Vx/HC+JeLaizOEvBnAhXU3yiGYad008wFFbZEoG
iLr7cQgCzyaiSRbiRLLOU4aXmjRl0rCWlqOes0xIbBN9M9sBTcrxySyMu1bLTpZFtWYgr8zqAqck
/wNuoN3EEGfCuBlGQtkJF1lvo145V+FNT26yHiAcoNm+y9SkbKmW9Di/KIQrkdfwtyE/vbQ5+pwa
begNwt93kkgitM8cFcrsklmgpQJFKW6X9kuejgAGbITMwgEKXZ20MT/9yB7rEm5gKcsTh+J9hQdi
kyUjFyZ3hzvJS2k4X9OeMLvCcK5jD6HI7OZwPRippSMOmJAq6KnOtZT2i9khevibK/dPbm9qHUB7
uoNLB+H7z5duOYN0MeHDHXpvfq/78aHX2fdGjlnoWfJorb9+HLWFDEhKC6j0ftzzdSp3OP3Ae+U8
rK0sgntrvGlFEPkjkjomiUjtTNOvt4Ea5kO55p2MWVEh7bazbbsmobRaGVyaDtfnkrAvyiUlE4K1
PFw862pqrDG5nJ9Hi3JL76wmdHWSJ1WChq70qawTDobsh6kF7yhPKLPh5z3JkRW0M+VD53MkDYby
Mg7Dg+0M2V7Q+95mXWGB9ljOVTo9oQpHYGhoC7n087vbLw0SVfngcTo4FJl7HdlEOGQOT5ar7tZq
Xnr/3F//v8P7bx3etLL+cK3+icNbvfZ/bK1Z9Nx5xD9aa4FFBAAmq8AgeNnzrDUh5p/QSd39jd6w
6elMY3+PAPin+8NysXi4/Mh06b3ZHC3+fe5kOr/5ACfR9ZE882Mo9V8ZPBm2tS76f6g0WJodm7GX
Z1Lvcmv9mEz94TyhS00DaoL3aWrN7vOo2RBJyvndV2bJzFprt6lm9LicRfHgTf4Fsvj44o55+9gI
7bGleEQkzBEAMQM+NzFoYA4tN96PIk/vMJ5qr4PniU3AGAuCoh/TiMCjm/R3tefM1r1tZ4yzELdA
jjkiYfTNK50RXXzqkWrBo9KKRVj7BlFJc/GbTocLpI8TOo4NCF1Z2Zs4Rq+wQ/Khe0iOp65rP5V+
LaGrgOErDaYFygWvYsaB3Hqpbve7tARHcpLoOJkh53XhYxtX2NeDbcbuYZw8MZvP9pz0WGcXjtUE
wZMh4+9Zn2bnOGQCuQCuh4zROCZRbRhZ0YuxjVLhiNe8jv1viZvjxF0wnPTtOt7QAeZQp2NsZLHM
m0jyEnr0PcI8+wBv+3BwA0yTOaS8cJKe0+9GPcdmv5DYwL4i8kOVcNhRdSaRsGENYWan/O2EPegL
uSL2BkZMSuZa9piU0G02asgvLU6VQ25Oz7nIrH0uUbYaBI4diilJMbZUSfoZgi2m0BlYieeri7C7
M6yb4XOfVDX2mf7OqhQyhnpEyzYm7rtUMcTgYfqy5A6NlDag32EdE1U8q1ES9RUYpD8w2U4y0W2h
Cw2PC1JH/NQaQgE+UqpzsUGqOe17L/V2vlnvoQ88jEv2jE/hQ5SZPMNLpw4qkivGXpQyg/wiqv4E
ZLM+FDJjOAbHWCHj3/Rzw2S/IRy0o0mXJhXcbLN4bnQtQ8WpiS3qxe+EQbqXyl3iuykQLnQlxcRx
WMstK46KecCaMdrkXy0M+3LLZcw5qjAxaJOSWZPewMLsLr6czC18RP3oiSzb1WpBGKMhlVz61n/L
BnPcgyfL3vy0VSfVzfO2aR3tgQmhzeQp+R5bsbh1NPnoyIy0wWouAZ5i0SaqIDsgVHc3Q6bDgRQz
PtfaGXbSd+wj60K66zoz2CWVY4dOqgX70Z2+C6eojjKlwxuzdkBhJuaQII3sTYA9CEcMMAzPcK/A
AusxAhMc1tcSLf+CkNfRx3Jr4Ffc+KZ6MqB6E1lB2m4ZH5elJhKzpxRxpPbZmbH1WIXKT2lLk1uj
F/phobD4OixeSIbSJi8mu8DL2IKJYvZYQEEthrPrSu74ofPbyLIXjTYtKtrNSPww/CYcaEmElHOZ
gUsr7QBXe3iYAd54j6VdNHeubqLNYciXXRuaSDt2S38bA33oQ6McclyNeDylbiwJA1BhUnUh5wxp
APNsXFjFsqHIgxvYWqEej+Md3SYjHInlA5e2Kop9peZv+H90fZt49nwaZFbTtZnmKdjjTshUqM2u
rsKWV4twvJ/kh8E8msjQKW52ODGG9AP4UcC9NgXtQmxi20xXqt7+S4+3GtBWaqfLzhgr/ZzWQUXn
3m9CJC/mXjdpw7UFG/+co0NMBauEosYUeqJtHYt5tNUgfEO4Ym1jtEH7NokZ+/nLizLs4NnLGnUt
c+2VW+ozqiqdiWQhthWiK6nhTch1aPJdaebnWsu+xb3fRZnZZM9Vl5fr1NvJLpRqo7GphsWKOPFQ
iiKHbUuz8Df4DIObBgLcyQgkDUNrvGGy3jwwkNEeC7v3Xs3KySKiOdvVG94xK0xSbuNJgfuN4ULt
ELvoFzcm8EDGso8SKeUV64Ogk5nVO6GtzPH1rqWr48LrHq1d3GJO09oy3XvleFfi4dhmc4+KHW7c
Jqa8Yi9ZfHTALkJDa/5CfIpD47AK3jlH3Hto1iam7tZ4sHz54s45BwNd17YIs4+Q5Uj8HTAO4a9v
JH0KGye1JrXzPDgpiKvBiGp9CbaNgN49J36yi22D9cCfr8BJi9tF08fLnDGRrefBo0xXaFx7ZuIj
TNyttM1kT+ceW89k+iHmbGC/RrefkT+yBstLMLBqcTwHi4bXMtSlqo+yYNjuTp2zSYjaGQiiRbGJ
iVDYMC14bwHterXX5jY4dvoYh+jGwZi4QfUOHQplPAJsJIwaIMu+QKlUMcZBiWH2T0GWB5FFRmTU
2mUQ9bI9BlqQbDqYuar1PlWZB5KObtBO75sshIKxQLSj45wia90NtO1PWtF+G4vlUsp4OBuKGJVl
clqYEl59S29CvzHVmmShz/luyiTAU9ptB+T2wQb6KIhaRFuhnwBY0Xze81DkMAqqgvWudb8uJOmA
h/AMDOzyKzHAxdlpYuLq5hqqp4XsFJGeccM10ON9Qeg/FcXH4JbBTjXL16Thtxag2RKGfkTSxMKI
TfQMq0AwSN6qBkWBXuImh2IXh+lo9NfJ9uFBlyb+Mz35Igznowna74RilrvSoWAYlf256gZE7kXf
Ppd4BTZLZ6MbG5T86Aabw17P/M1eXYReP6V3winz+8AUUJJ9c7kZC+Zek1d8HapYj1hMBat2Nn4m
oJMNQ1rQQgGgolrgYA88ejO4Wflm1hwiK/r1x8Gu3F0+eiQj4N/bcbCqbjiir9FgC35Xa37rU+S6
Ix10Uip4DRPkva0etP5zD/r1rrB6wQcK+sMFzYyAmA+s4eWPssi/cNsX8iKn2n9qPYRqk6XPjwj8
jy645pADTHI/oOG4c1BIfPFy99FxXYC6ZXK1TdEfrMFPLGYZ+Zq7gdp4k2ap/SlwiilUjtttZulv
7SUmtKklN4BvepxQIrbVvMnAKIP5F+Y3p1Y19g2+543ZGOJ2NDDo6YvyDp5y/K9TAe970NV73sTy
dtEtLd+ukuBD3kjr1qncEVBwjkXQ1htkyGg7mR2Nq1DVcbgi9Oqh9QPngX46dERWTeKFYCyQ5Wr3
5QdmGR+GQp8nfKe06TEre527bxrD4Zap6WQSrxYsCEhMtnlSPB6Z/w0h7dQbJF45IQ6B/lYn7Ylg
t3ihsZ0C3E6sb7A1ncfazcx3I8kRUS62G8D0zQZ1bCaAGSh00nyIlDOrd730y6gRQ/+4TF17jFk8
L2OqETdcu3eLS8AV8aVeNLIdqAOHuZzL2R29b3HiYQY0e+82kE722cE4QQB15kRdNZVbJ+NE2QhY
o1HXetVWALt96Cy7ywjy0PurKnC70BEgkoF85oHwlM6XVQSqZb6t/azcJ0aX72JvkjuDMca24XXR
PHS1fQ5Ao9rTEco+s5oVn9nihpdyUvojBKP4oOdedtSdiYo3xj3YAkJjhEV/mfR3BuHPiZkx6gAE
h+ZySTs8qSY3RKpP2KOJpDmZbYdRplJGgUmgbiJ3TPTtguD/XmJ5/YxfYvjm0Fw5+L0IcBDm8pYw
0e6TsBzk/V4vEFtZrRshZ0YJRXVFR6zDFpFzfOinp8RghQ05Jw1BtASNRR8No+i4xYkti3Pg2xWU
oLh0P00wwt0X0rSzJQIsyc7qD3bAjdhhvJ3RliZbu7Bd2CBF+mX0JhfUizc8kqxB8DXMe+1S1ir7
AgCp3sGHquyoWlR5BAmtR7mfJzhs7ELzN301VZ8Jdo/vwXLUBwUp/IRy4XGqqI37uh3e6qqGvZ96
jEAlsveupiQt6xE5j6zG6ol+BU1V/Gb7ya8KkgB7NFAVYmXIeWWIQKjsN07XOLvJqKf7ErV4FzkL
bkHi2IrtmBvYG+pl2KxS8cPgqeTObKx4fvC9vBO3UBTxKQeJ0hGKhb7nmhQLVQN9G2/zMJgmid+U
m5k/JGRJt5P9KGSCXZllbMYL1vWHPEgrYrjyeVzOhMSQFd3nBl7oBqmtBd0ZigYuGUon1zrIFI+/
6a+jymVKGu/QFdyLbyhM4kgHmpLcZEgKWzKR9C5n/JNMkYtRlNmP5gEWS2UnbkapNYehD4wH1UrO
Akar7RdI+9EIyvrUTl1zxG2XR4O0shv8iFkYm4P3UXXCftfJLEV2n4EO2KuqeerhEmdfULMMYYX7
8iK5H5mcLIsT0eT2vwu/SQ7uUFGCGxIkM7Ft3vOST/oWieNibwMQrbseHs2rTmF9nmZk4iXnY2Rh
OklQ9nBazFbeNyQZvKTKrh6mySDtBNthiDKzIbzcsBo6UhWBjwVNTKHHVAdt0e9VMa5a+hy7uN0C
cuI1fuqpIrcSfyw+fyPfJux1FOftvFVmR1JY6R21ph4jwcEd7GYW7LpCN18dW9mHquga8LisTKUA
Mo0NPd1niTWSyu34N1ZWEWZMXOv0VgbauMfbcWupNPhGpP3tyCtBhaKbYWOa8wHgd0spNSQ3jL1x
nqG2nSAjuu2uCUiXaeeC8w0XpU4EXoaSAHLolhFWymkErXdPTb8RgVcdtCy2Ig0jLlhYXLxMJCRm
L12bQzu3rJ2I8RvVgafdSmuZHxqCNVeJ9gUjLIFUSW0BFZ20EkIlLvOmce1LHGcZC22Lz5KEa7vo
WfgH8MFzmeJl7cpq2yFyYNOZ5ntYTMF1VEmxRfvqHgo3c7ZmSQiaDrH8lOnGnQ9cetOjvRXh0CSv
vVfnQEJnmneN0fpX/O44qiqQdUYZY6sqCSj7wTqyph7xXoUD7YvW9F9ay8OTBBLJdpShQykfv+mK
jRXr43Kcqw6gDgdPkHIOwRR4f8oQ+APdBy9xI3chgT2w0u3It4W3XL00PoeIhIi3pf1W5+VLn+Ok
AfSli+0ga1xBygLBAdNjw5wyPqE2gUHV4xWpEt0l7XU29FAjMq0EwMyel9iqvcHQvEJae29v6IUX
mh10nTJJijv6D7oeDbYafBSIOqldkno71wGKtWv7R/l9cwzattwu07gcANLq36f/w96ZLMeNZFn0
V8p6jzRM7gAWvYlAjByCk0iKGxgpiphHx/z1fcDMqlZSatG61rVJS0ulAhEYHM/fu/fcgi1aAkVg
j+648wetNq+RmtIRqJpvbTS2RyePAVi5qYMzpPOjaKoObiXhITCPOZpO3kOHi8AfxPUL+zVKsamg
aWzPSX7Andun65DZ8UPfBmpFv+fCsvLgnlLqLtbqBVPROmeRtEADjjOFY0k21jDXCtKZ1vhF3z0h
u0cuNVlk/pr3CJPTddLb+I1kQ/SusNyHaDSwq9ZN4Xu62zOoDMQdBhVB7z41z4opOsfa/xXYhdpP
KrptpPFmsZJuh4nqiHjA4jYqza/gmrKD1Rf2K3GYja9jx/ArLb8fiUh/q6pcm7chAXjtiq4HxfdY
ddgbZH7jEhAG7iRMDL+t3OCp17u0X419j+CE1Meb2ligvZkbBLSd2mEg0YQ5HMV/brDHGQXJm5Z3
A4UDBUhliVLy8wKnQ0i94B0mngGpp83RLCgl5zgc2eoEi+Wkci5SRgWnHhkwqeaphsEMJyw+HBMO
NJM/+t+bjlwQHO9IafgX/igt3DczNG/spGTxcOPo6FV6epwEL1fDGr4FaQUcMdXScAN33l45TpJj
7ByPc+xgztWN+4ZX0jozWiwq5tILXJILJq9zVo4hieQULVVebIhl7GWvQ2W+WxCbftgnZbd3+vop
dDFZc8OvAbTphzTULgJPUetkot4gij9WRt9uByt1Nk4qs2MlaP/VHul9BaU+uXZMTwPCSZqwv/YS
9arnMXd8gJXfG4vr2q6gl+eTcyhsLI2OBreFvQsNxDnXToNpP8SGrc7aQKv8oZHMuDOr2EV6FW7i
Em7CmLA5a0SnDgUzHzoXsHJwMr9WzGWvO02nDRcM8Toqp6c0NOictZO1BXqHYBGUTSB643ZwwdzL
ccJEkhCw9l0op79l7TNXUgpibfS6OzY1zSjdSCBeavZF1rigOKw4NjeNnqZ7TxYXdpupdTBbNgKh
ePC6jYNuAOSHHqXHmvej4c3lNoXA8QyFt/y6CBJyP9Xm+RthJajejSnVnksg2CdHz7R9wguvWVlo
XPZuSgS2k7JFQuWToBiPw2MDHX1j5RP+tyDj0Qqr/BnrtHsqByu4YFjWfdNi+RY2Bv4gL9LUsaYN
fU30DHLm2BkKXPn6AHlRdFemGdnz5SIvANnt5OWOLmiOJruFqDUvqqeFFOL4Mo2JYzDjAobiPFXb
uGKKYuuBdmkw3O3XgpfBPg76uykUX6gQAIMEYbkN66nd8xxMG9kog82Vez+QgLKqosK8xUFAJFBk
nVxDBUSBI4jDLeyuDYd8VcyseYo3zaSoOQfBtiA++uiMGqIdt6RYlKguY9kdbeI/mZe3mFV3YcBc
lSZRRtggvTBqmlwaq8UbRXk3kF+xdmTZ3DdkhpzVtetiuSwdT2f+To9vqhKkbawLX2U5etblAEf8
rucDiNqsu/mhQxVA/oxDPK1FgxqMWzGpC6uDZ+Bw9+DHrIaWaVwBC6UCLOzzwvJWbdOFVEwkbqIS
aXOQNu1SCbHKfM1T6TzZWK14tLuk3VcQ4Fc1zk6KVtd2SSDSsh6FjTXeiq5qaT4BMUetNxHdgkDP
u89MFb6KKEywcIVBOPr01KabKUUHsLZ40IiVAYlCQc/Ge8Q3uaYEzSu/t6q3gfIalE99PWGlx9Mv
9WOFa8AXVTfswJzX1zgTzAfCUwsw6jYL9twI40rVJVL+DJvrDQZu3qesZeUVfJ7+QUMZe7QQrXdg
qTz3opm09iGtNP1Sz4dpZ1aMx9m8Kutaoeq6gTzF9qUxAu8MKo/5MmUQFlrl9remuUxqR7PjKS0L
ltVVLtzCpGYEDB8Lhc/aGZCI+h08PygPDUPoSzr8Le8T0kEyNGAm/v1WDoIrnScbYgRCkiVTdTWH
CkIckDZzY9GGutNnJzwmUDDXRRZNbxl2ta+BoSjUcJkx96PBhOAArf8qTOL6oZNLrIrGWzckbIeX
PQIENjvxRg8V0cLaAMKb1uhZg0ni0A9Ey2L+Sc8Juy8wbyOfOS+Zu3+BqdWOKznGuQ/1wl7Lxg5Y
TloyVNO6ukTv4e7zyAg3qp8JZVC6TT4RTmNIG0yDXeRJj3RvNV5iQ3WnU9+dA76C+tBS/dPOdOjS
aNHNFCU9yUBhT9O+TNZhpfKLDgCG1huwQY082MtItL42zQbMEB4NK0EdEtfWoYwM9wox8XgYJtEz
i3fQZcgg82EXGdw0nkNUUdscFdgcDPFOeu5K76VwRwNyD5q7xJ2ewymP1iZBWIgNE9qKRpDTK2um
ey22gq1D0M6mMvFdaNzou6gn8K9vJhOcfUnPpkyLyaTRNvuRNRo+MjFn1QpUBpo+N19j9D9rtgrz
fmpGpDKLu/zKdUjloNAjKQczFdj2UURwaSNeNokAdEI/q0/PYZ37g2B8Q4/VoNIoo62RooHwyvlS
pDP/XQ+uFSbU09AWi/0jvfeU+WiFLNYgMzcxqgafTsmzV6CL9kIGHsMQhb7SMgAP6KC2Jhn1+8HO
d3aY3MwuxKTSFoIpM1QmImNPVhTDy0zqh0rVyZUMO7jA5p7Cqt31s90/aSNjENPSHi3d0Lf6TIU8
ol7YVT0vaoI7nnMvqa+Hrr7uShzZK710ebUby0YwyrQTWGpS03QzOgA4N8+RfL7amtNdlGYB0oz1
HyUsqR4rG0VwOwiivfLxvK8wTDVZ/fA+i/3P2PqTsbUBqZhB7/9tDNlm0Cpe/+6X/PPv/DW4dvU/
+AhdoKeT9sIfRN3z1+DadZa5tRTIiExDfwcQ/mtwTcQixo+FdKhjNWTe/b+Da/sPQXeNQbcO8N6U
3v/LGbLoPX6YWjMdR92LRFMI9Kjchx+kTCF9Ku5sykPT7AjaJDI5z9e2iTSDoD9PrRzRFOepZAbh
e+zLPpGjfFCjCB2VNER2zg+6Teb0H9QodR3OII5G3rTM/zbOlEviXMyMTO44/0Rs+MtD4Q7VdcdG
3CY/HKqxEtZK6vydbaCzyUx6AXRbqg3q4Prf+FWcSs+SDqrpnzyoszGmTC1tQv9GkKzYxGsfKVG6
bkFZHH642X4hnP4gYn4/gWgo8dZa3BQ/yV4ZGHcpTfl258WBt+on8xocjXwDVeyDZcK6CgqYaSBw
n0pnsPn7g3MP/njv/HVw5KLLXYxL6YOCukWzH1hV2+5AiEnaF2OEdZ3twe+P8vOFgwJkgD9zbQnl
86NOW4UuYKM66HaNB7CGe7Og8SMYzPSbpMppHvz+cB/iQ/lRwjR4tkAHk04iF53Jj9o+DKgmu1Ew
+OHEfpMI2++OZb65IXkdRpafySCpVr8/4s+nEWE02lS0KABP9Y8y+yAiVNm1ym5JC8f7F3h0KXWv
3Pz+KB80i++/y0SV4hHhgQfcWk7zD/IUTD1GkdZpt7NIRVxZmnaOyPk0GbDiKCTFJ7/pV2fxx6N9
uDWgt4Z1KLKOlLvBWC2Za2FPvVwl7+2sBQaZpi+//4HmB5nk+y9EySNpO0jYxB+XsilKSbEbeOyM
SNonu7RpruvL6Kac3X1Xhime0RsHRyrMIFu9sstw2eFaeybgS36a12+6EdFhMzjVt3G0EOBIZIdm
0Na3M7GbmcMww0jr+ZOFyfjF9ceZ5+iGpFZehEp/vzKuCiW52DxG8dAhB7ApAgmiH0W/0TQLJawC
3VG55QAILgUMTc/4iVp3vOoMkDYY2S3qwdA7GYhXPnkWxC+/2oLd4QlHL/hRoZ14mUxnkbXETkYb
QNfCJ01tGe7LdqPqUBHCZCEkGiT4K+LdyNQt2OAqTML470bGT71eEKOmklVN9s3KMjD8BQWVNday
6SzszOaS0C/tMKdU36SGo7d0UGDWbQOjeoi1+7Z3A4xVwPgaap8tcY70/qzG3eCPPrYp1Caamt0a
5am3GjNxFtnpl25wCdAD8AVpd063jdVR2WntiTbqvIefNyMnRYQ/QiU516NJf9Caut8hYNLWgZje
0sm6aV0alwS0kZ8uo/bEJxfb39+tPz8gRChQGPDU8w52PvoxRxWKTgzLRVekQ6Vs6mJXJ21xvOvm
YKGw5cb/+5HkiPjBcJ0I9tye+ffbzGvG3gXX1u6aIDgYyt7gEyeAwD4Hak5Shicff/8Lf163QTGw
2hhI9jxKnw+qZYVepODatLtkyirKb3s4hLQ0Ni4qCv/3h/r5NnWJIyADiMAW3bIWK++Pa1vYCaT5
fclb0O3FWanVxqEcaIv9G0chupoyxcKt9PGS5fRH8nbgBGqyAV4KXU7b40J3r35/mI9yb9Yxfo1r
GC7VIt2Rjwr8NNZmQ1YQCsYR+TyxdQy68O4wYUEwQiSEQ0nBja87Fs0j96FBS1GyOftsWbI4aT9U
hu9fgxLGECh1lnHJh+tX16U9x72jdrgUHVJQvGwbDEm7BbUYu2A3Z/tA3DzZhHr5PSsH54axPu0G
1FEX+TxbR3ZqwSdXwPzld3IghRDO41GzfnithLamaUFkqV0RdsVBb2g86sROzEVbXwaq6uBPd9XX
d5l3VmvTqWM8vSYkx/Q9l6Eh3o7vmTFCyCcZb56Hpy7RGMVjt7ydCqYKVRuLvQCPeyym7FLT28+K
i1//AA+HBxIgrN3W8g774S0cGI2XT+7AScWlGzZAsbvBDr9ErGLrqnYSP1DMHHJHtryxmvw4RfOz
Gzt3qgEYS4wZdFYgH5tIL73rkhyDO9eev4NiLo6WS8zlUEE2An2l8a5os20T0zb75O5cLvtPt8UP
v+DDMjK0JIyE5aQQ6ySEp81ecUQkihVA0/02xgtidRJEa6IfkOKBHapoQv/+K3x0z/15Z3rISQUP
owFC6O8nEeS1TTOjU7tEi5ZeeOaKF8qqK8fGsZJ5+muZ9eODYxrRN9WsWzJx1kjdIh/CLY4WGJEm
YyvMpCh0sfwOqFTMDo0ZB9yNACMYqIXG96kwDJZK59axiArXk9IHOfsA5aHZG73QzzXoI/sZDZrT
67dy4kCh/U6F8ZT45Jz/XLrhvSTfzKZCkCRIfTjlwnQdEoBYEOokeyiCndMnma/NjN/wdVuf1Im/
WLYlNTA7T9vhgz8aBBjQyqJh0dm9u+VjFxeaQdiJPaL2+v11XHZcH+4kjoSjFSaBdPSPhT0t5Y4G
rOBOasK71LDChwQieLbKJ3YTYkpRUelSIx9I4on+/aF/8faVyMGlY1m8mCi8/34HMexFyJxAW+2c
iax392p06hvdDt4yp31hyys/eUG9154//VaBOt0w2XDLj2u612sK6wi3LNvw4qazqHuQd/tTQT6z
1c/f9SC/K+Ns9MOporixXUxeKmQSRrXy+5/+y5tJSJs3i+XY+sfXcty1PbmKPL9Qwltfr7A8QArG
1R6TXiui5O33h/vFq1kih+cyG+y9fwrOw3mZhnk3cpFp8O0YwQfrmYjpT/aIvzy/Bp0M7iROL6L+
v1/QRJHXaNiV2rFHbtZuPyJvKBJvTdiRdhiUxdPZM85BHZgxYsfJQzcAj3mvnc0znqHf/+afN+Wu
JGvOZFNuE0j78Xkd0EjOkUKUYPWtvolCMppVM19M/RTi6zRwu6mcwZfTknWUdvonj5XxqyeYaoiT
Td2OV+jDctFiNwLSRwzaZNjRC2hsIu2HJmxPitkgkjZZSrkuOz5gpU2eRkEt60z4elIxtQOgFaVr
8pQHRFcWnn6zbTsDBQGZDL8/S7/4mq6HYZ81Bhc0E8q/X7JIA3UnClnvABVAaLbnfmOr2kP+KuJP
TskvDuWxfjL9WWytkFb+fiimaUiyG6feteh83rDTOddzEeXNSpP6v/GzqEHRsculpfbTqlYV1cwo
2q53woybaw9j9LacnOAsaZbwk381Gq/+XD1+TOX8xSLGkWiLUCI6NLU+3PPmTIRg2XGk2EITHrRF
dQuxy9zwdptX+oinwy6j6ZPl45enkv21zagMf4734aqFoV60XiTq3WQa/ToXGKRixKR+o5vqk0OB
ueG6fFg1qTTIS4Q26xLl8OFOdlN8MMRKcYvYjV5v5TS1TCwje5h9kQdFxrRFmb6kJs/WtdUP2pad
I9hIxJJWfp27gocL3x6hsoGasnuz6rPIb3CqdKTZL0xvnH7RczmIJacECfo2jJa8MFUswU4FPwkY
riwJOPV6ARcEMag1nQkSBnbxBOpsg9UDOHeYRsad7HBmM+YEUbNNjHyUG8urIvMRY3qcf5cJzZJw
VbGDic7GiCgCUKlpE+HOKY3pQHQ0+WARnFh7o+mVcUQaN2o7hZhBXQoo6CQhtN0UXEtlZMRfdK42
bPOhUSkpKzZIG79Iezu8wP8uHL8TVplsO8LUb3v861CZC63cE0RewKkIG7NhioysnVHsovixy+RA
sENYrd0OxO52YrAdbvJqKppztB4Oc3rpVQOkNTV4qT/2aDT9ssfacJajYtTpO+SV6VfICymuYsB8
z44K6Jc4QTuuCbQvm1u085oD900l0xWQVEbysY0Ca9Jqz7nRoR+Emw5MWXegiB3hnI9evAXmDZ/S
rkKQvkol3q5oeEVtsmBp/+maiX60Zvj4JYlQ9Y1ZDrhY2eiXV0lViX3udtf0ebddL6qHAPTIY6a5
+k1byGEVwNDbaxOqHqv2Tl02bYtabcfIKW4CFNm9HYWbdC7iHSOvwU89QMth1x+tfkKFVqnnJMWu
IToTBlkyWtvcsl5tcEabnhEy36FxdlKhePPsWELnXfQnAyI6YtzJTrar8cVp4fPZHSASwt+e51ri
ICVda+GDwbrO7nVdbqQm6yvh5c3G0IsYzTKyF+j6xhmJjdGFNXA92C2QoxIH9+NsiZ3QjOs4RuEZ
TWNwCDybGL4k7SgqlLPOeEv4SsGnTrPxUIMOJ9h8WtLN09M7GHawm2M6jqY/6ylKpRadVRIRzpI6
Kext0KjkvLlXgWvf5FpEIs7gQqqem3nNXLjzyY8zF0mhfhOEWfVUuOCfiwgc8NQiPB31tnmTWg3o
vYVg7tKw3jllKRayEQO/IhgPlh6bBzU57oYmxdE0xm0sKgM83vSY6x3513Gwxzp0G3fToxiJnBl0
b7FQBY+5XCwDYZq7h75zim2v1cBqhXaXem5wVAH8GBmW7kZPyF7IhsVwkniMItk33MSN1l/VYcP4
uxsXqbc6b6fAWWXjjKdBI6+qHqo9doQYS1ie74vc7d9sxaB8ismJTP20j1t8OB04HvLXV1SaTRhs
ythr74iywB1mcvM85KZuQbCv2UfwMmWRSEK8XxXn/rIeuMsIqENDmRoHnRD2jYbqZUsGPGEgbVki
GuN0B8IUkzp3pyEc1NcpahyF5NMM7CH1Z2U2X8nm3upIaJkqw5+pdo5mlt/AkafV3krRu/m52+Dq
m0rDcc81TYLOSR0X5VKG60070p7VFU3aOt43AKDJC0qLzJ9R9N1FdPWvzCyB85cXaXwYEnCLRNLX
lwbOjS2yffQaY00zLoqV/iL1gHrS89pq48x6dlbxkv2GECCUCA/Dcp0M6LDPx1HJW7tPgzeP5n6H
rkhi5AL6q/u42McvzJnyt6Zq0JZOuTKeitFpfLZo4uSBJ/hKYOOAolgBb6BiuXMnGxaz4nMmLRsR
dpv1cS7ZT8djgQHMttQDXTjGIInCWNT2HXdCBHThEWVg/a2uCANKR61+dGoz3idkOaFEG9t0GyML
fxBljbLBKQeEtYHIsb/PiocjMzVSR3Q79UMpxZoERevQ1WiPHFrIG3alXrNN2Tfl+7wiD2jV4gG/
r4MhnElWjQ38QtihyDvQbdx/OaPBQ1VE5D4MrCPH0EuiW50gFATUTWduFadTuydHkp/oVCkOxxD7
0h5geH/fm2M3XIRBEJ5it3b9Uq/mC7IW3XM7svlUi+RLm4je275FFLaiEqmPsoqiUzKo6onWnbmh
cSZOYcOjuinKfN7O6Ea3Q4n6docRNzzhhOydNZBoceIhqnmouLo04etjmnv2yYmi6qXpw+banhvj
TsWc7xiQym6eimnnRpxUDaAnwhCzvq4QXr+IZYe5LuS8RBDVSbzjzMZ7gb6YZa8brwwwXijREu98
7lX10k5V80iyvbmZHaf+VpI/AKmJjNRsVRcEQoV0I3ad16pX4mDEyZ5rDTZY6YWnMRYxOigJIvN1
Tiwb9W1lDhbJAdZAaue5wWsZKZqXhKCi3RqrehEBaXVxNiJQKnXjrjLIEYgFtPlKRuGlFF35JJFz
+y0YMzSmGtQlnHkUkaKzzE2Ii+44NXrgh9hZzxrAVns4uuMXV0tYF7Gjoengb+OuDE+dVyN4iFxB
BU6QCBMLq84OTRrkwaoFMpL4YEtJlshb/oeg9wi+DIes9ZO5KrvVzHNOG6tQD9NE09p1ejLTQlBe
QTBlBMC0y13eQYxk5mKK2xg6+r1dtuTGDSVfElR3euO2TfVskZx0q3kzcUVVMUSnSeYFGFW7aB4z
OO9XrlTdvV6N6U28XG4T7f65SIzgprZ7DpRCbfYcBwktRUZ0shVnDWXbdIUpb3rT5zLeaSNWIKQ9
bnBj5ol9qElTPUd0yieWM2ZoQx+/eBiKX9HF2tpxbmiJb7QcDY9T0eZbBx28zhX9FlR0hdQQvEmt
dNA94PwhgVSTwY0dseXCgIS4+wDGEBt11HEnzaiOWXqlzZ3GmhWdsjQpDSTwc3mlWSRFMzHNFmWs
IvztIK3SLdaeat9Kl8xfZhd5QqTkUL8hqzLu7bAa/J4Mvu+4trtuzaNXX7NazG+lmVTNWpqgW9Cx
ie470SS4W4Oe0DWtqjgtuNAatcPTYTQrScl7N5uZduO1OquZI/vvY+XW121A9E5Xm9Vl20+4lAn6
vDZaNzwFso53rQc7MFaudWAd84Adojo8FLBgH+o4LvTrRsMZ3bOhzMWhnEpOHizmC/bEwRYwCpEd
aAkc+qat1TEQttynWbntZZBX4a7Psn5vy5xLw2vz3GrsFNipE8ZXEPyqbVXY6ktTAbFo5uitxUG9
rRSiOD/oK+tFeKHY2lU2rysbppxpYagSvSV3BudrxUTTBhXR8By2aBxvDDJBrihChtUCCL43s9CG
aV7etp59QdgVHLgF6I/Iq4G84SWXNf0fvYtAYOVkJuLckyd9yI3LCF30bkkU2416rF2MUqtOBf62
WxlARwTTgf2ijfN5BQceFJ8h9IOI22M/TRAEeTYvwDI250XoFEd8mEhvTIsS0GP8Rwv12QPyekid
YrxJy9567UHU1ojcWdJc/mFhRi8kLJ6xtc/GMbEfqLdhlCBUf/GGZc5UwhWms3yosSoxLYsoSPuk
nB6g1oc3ehENW2es9pIYad8jFidcxXW5d4f5mf5f/jXNybrlncNJMtGGstCzw1k7Exmu6yRN1SHV
dPzAgaafUkwRW9V1DL5I3oK2OwxXtpvqO+I01G1X41a2Bi+86RQH6UTgXHW6V6xoTE84uwL7mRAf
eS9Vm8E4dO7HRMdiTn4NdSCl3CqPp3JVxkN0Ebs0bogvOATWbLxEejBse2K9d61pzL4bd5YPRB6k
ZRUB1cVuuAmnSZ5RXNgPiS12ZNaVWx4nFuAyYXcaytrbeXBv3zA8mw9jZRuXXu7NqBZy+66KxmQ9
UsNuiawWZzmB1/ekpzvXE5n1pHSpsd461IXIL5twE45j9X1m1IThImzjSxguwS25w8BJlyRdlrWK
wBc7TxSELfSGDBBwWqFM6xyseybarmdYpbAyibYigiHDGGVr5+WUjNezbj60sZZveRS3sTUnC0cc
0y0S8cvcFsEXDMSUGTaYNpZAwIJuG9+4OvETaW65Z2paTOVwGyORIVqzGnHKK1ES+TJ4BkMLslOm
qewvpNB47eSuRoqlLYtjFY7JCeDUoiBNZmyqTVOwLc00ooBXzND6Cy9ok8fctOWODOCCVw4eCfKL
lrS8LtbGKy+w6vOJZja7Ogdb06prkvQI4FK/EY59bBK0yEHfrntXpRegN8szVQzwKuwyYziKvLUY
VHtO33da4U7aG6PmPRJBumKf89yUBZrXiIjhGvT1OnEKUP593xqP4wTsvzSdF2OW3wN0jE9UrNlT
pvKSRUtpX5xMaFuM2uGmdbr8epJULNnUYG1DCExyywjZiXJo3PdAt+KjZpWD7feOrvA+pgA4WDRk
edKGENZ5MTnlifbNku+DfaxkDACtj3tUJE95nhTXZu3m18QG4X+NyV4nxmNoXzNlYlBUSfRaBzpB
jKbGB9aoAI4C79DtBOFjeGyoeLhuMZucPJLkcPSatA5ZBbNo9sbqK29LemdzZmAKCWlIHogAMu+o
j9mZpnlkH8N0VK/4d9tX1SmaCGrq8rcUBly0UhAkn3QcXy9pBCl6gZuOKHHH4IlkZDbhdhAD6qzm
QL1qAgsEvoLecwjUEMVthkuDixSNQ0mIY9uXW9sb6Gh04CUSEvc6CpyyyMrbSHY4MLywDJ6EIfg7
XjViq3AIDRE+AbXcRoWFN8fvFd9ykwBpc5dMK37VkgeKFS62C3UWz6Jl36gXvYE5pBricEvxyifP
mjuWB3ug/ehHtjdp2K6XEgBpPz+JzZR3noAIKXzZEBu7zt7TYjVsDHJNkh42jaYnVgvmgjeuglDk
b2bXcdSuxnHjD+g5n/48mQJhLAJtxpNArpSOMs0xZlLB2U+UO8sT4Rpno4JO/N4UgCdT3MKQhYeR
xQntHpQFCKZB8sGnN+gCnUwc81CNxCzOpqYtb8WAooJLyLx1PQQ1v4+IWvohDb6M5EyhYgBKQYRS
hKi27d96SW901Zmiii6kZkR36dSbu6IrigfI7c516njEJ1a4ju6GqFLTfqQNH5xIFB3R1/U6twdV
Od86LgIunpwQyTP/wx695prw7NL7h8BIX4az2Gst//9M2u5rzO4lXvFlvfNJ9ep7jL8aO2zX1Aww
PAxCOz2N4ehnOs8PzkKhz/uC/t9xiBWRJtyHVHQisqvkoMuGJkrDbCVhcSGglUfdZsPNS5j3F6AQ
fUkJICGWEKyZ7OFT1Fv6ul5KyMwpTOhdaAO/GLASNgRv6Udm0s1+yDvrOg/d8RwtU3w/z9HwBbtH
/2db/T8a1E80qEs+9Q+d4Z/ISVR9FFDf2n+Ub//Aat7lLzGd5D/TQA6v//1ff/79fyLK5R+e7qEe
BTjOVGbhiv9Tjuo4fxg0AMD+IaHwGPjT2/0rRdty/4ArjHYMPSoNZ0fyR/jN2ui//4s/AhVoLcIy
uehK+KN/ppf81cMm+OT/RM5+HOTYHlNdMOUGNEhhSWv55T8OyCdEagRCj/oeqg8BCm9ZqJ3GKTgk
dGEL3tA4jo5KDzZe0D2y+VgllvJ/OHm/aKt7H+aS71/BkpIZPb/ZZG71969QYumvXDfU92Uz6ZeB
/TiRQqr6dFPQCEzBIuht3fke81G80sFFVYXJzoFxuhnMr3ZvrufILwhpuNBJsotLsHi0KivHuKwX
cKstwByBR9aoskCVfCPTmP8pAnLOCC59wiuEKD/iJUz3Pp6+qLncxTkIXG0zCY9453bxqqTyvNZp
N65mvWUvqDXKsnw9pQNiFfeTCwSde4LVx10BQWdJJwWx4/UeJ/O13Spc4IRVxURXQnxzV1ZrqY1K
z22tu86iottgq6Tw9Npr6X01LG2jQud55vVN4qQBf8paM83F9OKtdGKVuzLDJJ+vmy69GTUSTLAL
bVLiKfu2euqgVu/irLvCLomTo3iZIfu1CflMON93+DXJzAKVtyIx7Fs+EnaYYjegkB6+FXZIa6VT
54UasGzqePcljrpy3sapdQpztuzvV/0/i8sniwsyV4PB0r/mTj+tLpffh38cvzfq+/TjmvLXX/vn
omKxqDBNZ5CPMOpPIftfGndH/CH4LwgbddaV9+XmrzWFdAPURY6DzAmoNXIY5lf/u6Yg4HRYCrhB
kMQyG/ywhvxuTUFb8/c5Ek/0MnpeMM+wxSBZf1hUTOyp1CGi2TOHj6110VgMH8KySc9ocouzUUcA
eMuEMziWOnk6hz4u2uuo0vqcOxI3H8bynu5clJJ4imXMIj4Zgo9ZjcxzibaOCUVQOhlrYJpCr07W
86gNlyELmeUTKRvcjWYhHmXRP2fGxCA6y+8QNItbqJfztWq8u5IlZI0tDit4KZeGhDBIHUeyPl8g
D6J54iaucaMIZ1y1eMcevdQgDkbTYvOmKIb0qBqyzBijMKrBaEvHy8HQLZzxMmdf4BuaYdwEs8kD
TGDlGw1jauaqtNhf9qCYDyE0GKJ1Ea0/Wz2puPOgcMwvos33E5XOVOmNE71w/ckcIJlIJ4itbw5E
LszYamHy0djNO0Scib12rI6/qMTAYM4slvg4mbOze+iTuQ5xZrn6o5O384WsSIBBMDHvqffnfTuo
5tBrHUc3EPFC/KKvpOLWWw9xScdi6aiSGYpNkyw3Zc1kArpd7ptVqH3tOkvcui2m3pXsLOO8cZWn
7wb0OfcU/4whmCwZjw37KzIeR51Py/JoPLlVpr1Rqnjr0aqBAEdj9KplCl4+6rzd+/dTy7fizmaa
lfDPg0leXrEqoC8xF3SKYas3XbHrmF2tIR+wNpWcZBhI7aaYeyzKThub56FrdDSkujZNh3OJiDba
B5mRznu23Y21jYRDxqDFAKFcJQGvDPpoSwhDeegbG4UA5nBYZnFoPmK/c3FwVpNLKixchn3X5twL
bpUek04pn6OTE6AU43MbAugtzdzsvtGs7DaqmumxriJmCOTx3iVz724jy0TmUkPpP0JLC8/Isoge
kqnC0eRN4kyruNigh4kaTMGprPtFzJUwWdkIeHzFDlijvUpF3eIm81q5RIzPX6Gf0fKF6b/LMtN6
G2jywWNtcuhhhjWjyQjNJE63XqK30WWalXwWyE6wYKU0AXnZVs8VXvVN6SSbFsDDTZB700U80/6w
yjT251YP4NDlUMb6cHB3xgIpbbLIus86N93l7ogRO5XEN/oj3R93lxq6um1L+1G0GVgPoT/gbJtg
HPQ1kJCkm7V500NJyMNgbv+HvTPrbtvItvAvQlYVZrxyJkVqlmz5BUtybMxTFeZffz8oyb2xnOus
fu+X7pVOiyDBYqHOOXt/e62l6+4Sfw7XSKNq5m0Z3SGGXmQidr4iDjOvbjUA3TttWC4O9qm4dRJb
nrqoDDCENoxN6TUeCEtut4ie5lNsNwt9iZ7zesgd62mUrlg5CAApexQ598M44LrUGT8Ms0xYVAR9
7Mq2H7cIwmlTA6hl7DdoY9/Ulr50VpDejL6VQSgbnNvWiYjBjnseoMLTsIejIg/TlW8E9jkPmgSe
wCi8zz1V0CWEVv11UmnKsbE6Kngtm7lmnFu6FhPRVFbMsSfQfeVa8DcMJcElbYxUETSO86F5wARe
p4wKsPrRjbNorWTl/ASvBxZN2sTX2FDVaRZ19Wy4DgbRhnJwa+FHRekf0e7ellgTwR/mLZmYcanJ
bS4dLMRsFJLKfRCb3nWnKxhx1V08zvpTwOe3jqC6x/RYF5WnwTtE6tSFabwQ5jpI0nDGyNQoGZmu
8HWDDI49mrteSS9W5Wb86HqRmBkNE5toqiK9glEMM71XVOEiNZn+Wy5WRRX0Iyb0CAzUVBCUIiBN
JrgXq5Dws2rqGCVSLVGcmkyPgmFM0QSUeVsz2p7VrfIzwuNLjFEArOc70+3ZlTQI/pf3nQX4OEOu
sSBJoOIXSrMMdef7r6hGxwTFkj1KDVBpXeztAmYVGbMrb+IJoyq33I8R23Ndghfh5zCY99JZLtTG
NLWpC3knROvMl0EMPXPfJcvqmqf9dE2ubzVBLZwR6XflfFEofP+AUv/3uPQvxyVoSD4qlf//uHSu
Ovigrx8TFN//6i9HIBWTdCmYbGBayPFdZC1/npYCm3BFEI4ONhZ0njw7/68Es8iJAgMO24dGPaJJ
Djl/HpdMXvAPYDuyfiFQRv9Hx6VFN/Q31Y1EnUxJYNNRddBM/YTlR9oydGACeMCXIU9PQu/kvYAb
dfH7pN5VTeovUQieeNOGFz56DCMgs5ThyVAJI3dFFrOXe/JcCVYwjymgIGjtipXvZ8ajT8giae4I
QraV4Oku43S8kaXRfUuVKc80svJn22wwWy+nmSguwgtD0nhZ7x7wnQYhn4yEGvYtTJBD1RTuQ1d2
4/XfvrJ/KAEXEdOPdwAdIQUotwGeL4LCHyvAdEJjXfV1fRyVHG8JDgxwg3XBGi3c8rl437++3gdR
FXccEwjiIUiAyOGQqP14PdNgBBZlWX0cDIUxJcrfImZh6yTkHvz6Sh9OwsuVECZS5aPGZLj7MR5z
7pAWaHqaR9pd7EcpDV6e9sbet8LkoTdze4/VPLz/9UX/4eN5jDkXgxN+T071P348mkV6KEoN7Its
KrBvy+FZY3p16Fw6nK3+86sBMUD5KHEMYhv88WpR4A9JWaTMJsXgZJdSMdMeXSUHpD7B46+vJT+o
4Zf7GRDEQ4CFxYGHFLcfLzZmUR4XmUiOTTzm1tqKmVVsmqZY4rQl092Jg2anOnkedNYfZuTF9TbR
PPp//T5+vsN4QAnRsAVKOYItPyxYaDPeRBMuPTYdDegN0Dqel6gCHgO35rny64v9vIYcslXxLC42
FRtVy4+fWeEEsVrl8lyW83xX+UpvYF933+q4zuLjpBM48l4ZQEX99XX/6UOS4oEowXUDD/32j9fN
opQONLHhx3JoeOD1fJuD1S3FQgLg+j+6lo2ZVdDvkoIUDKzbH7WVdmJQ4sRBckxkE20gb4ClqqkD
rqJpsJ5+fa0P++37tRxJNImNFNZGEPrj50qL1jWUwRqap3mQmyr0ilOeUIptfn2dD7LkP65DQg6i
2/flav54HZCguEiqMTmGAr/UZhxSPhTxK8Biew4jcZLg0BzpiyfwQeCnbAVw639Jzviwdpb3QBXO
RiddrI4/qc/7SWZJA8GZjCy4Q7XsG3MVzTTLQmsqTlXkM29wrelf9vP3W/i3DX25LIU/H9zyiXxC
TPHjR+8jt6/mEBBj7IfWJ7K5ixNd9um6Tst4r6wapEdrEBgKj2WMvHU4UNIdwayNv0s3b9RXitXi
lIVleIiEUZzCJOQ/5tS4+/U39E/vk8KJo4G3tFvxrPz4PjPHgn/jGcZBIO1+m6bOVuu+yQO+otwd
3ANJBbXHQd3wPJRiQ3YRvTkt/TMsfV1W2VdBG4THMfGt68Bwtbdz+7hKN1UceP3+1+/151XrIz4m
QELiwkHG/eGtMkZuK0ioybEIBB2SjPY/5BWt2+2vr/PhV89X5+PUWDY37Ng/+1ESA+1WCGwbRx8H
7CBZZjqg25yrXNvOw6+v9XE7f7/Y0pHi6ejQ7P7YKJp87Wh7TNnOaQ5tIj/sN2CNmGDxU9mBSY3W
NTi8K9mN3otRlNF+rCAK/NubeFfo/7hccRjSL0MRzRcNIeHHZZCr2jD5ZSB67AY1Hb13xHQbjFZ9
xDMz31F+ijcnRi6Bp+R9bhTTEE1QFPu0W4RzpfEAnADlTbdtH5B/B5+Eqqgh2yJZm1kBqDim2RXj
grmfcyv83o9d/uxP+XyZc0VfKGiU++A1TMVNVNRXPUBlQvFIfrl3usx9cONaHFpJfG9MbHG3EXVi
PEKcnO/goy39FWwtN4US7WsOQ+YNcH140eQHAmcZy/A7nRiHmOuiQZ9R9nV4mDVgsF3qIVhaWZ5a
zghVZuMSbkz7lZhi+RVEm/U0WNYCEwJzh9JgDO3ved/aw6YgjDem7ZLGl8jil207bC1S9clbF7N5
V1htv0eV4ZvrsuDYiMNe+BF9pYDgLYFVfD/YgsNQ6TG09b3O3Jag0F58Gtn+fSVT1hu//giVYLVE
ZNa1Mu58U7N3Ct15L7MdkjUJS/niLX+rnYq3MTmWTfzMQGCKl+TGY1BZ04XnTP7cNNNw8357Q3eg
TVDG4q62Gshi1ezl8Pdk5FonE/nfhRDgoiN8caEJ0z5lt+rkdKVgnnprn5H8l7IidRER4UhRmeeS
hlBSc+8mUoWpa4WICZhM7E8dCdfG2kS5f2tlEKk3qc3rDKCJL25bA7xpvORNoagt6UqoKdoHc5Aj
lIUh8JBGlvXklz0ENcPk3hYYsN/yqDB3Ej7oK3ndRk63TzMkD5Hb3DmDMcKXz1D5iL4Zb5LJ7mOi
uGXyJXdbtqal4pWTsBFfL+uwGKrw5JNpCMguRj2xmeEJxhtZ0Okv+5y19N4tjAZ0WnRdEz2tWkhK
dxBGyT2dC845XazraZ3yAfSqSAe6N5oFthXAPV7jYRnjjD6r18ns8VaF8VgdupiKAfyT8ejGS+Kb
iOzpAp8rPWV+vg1mA5m7sscbRKTNrk09eSCur9o2OiQp06jUXdTGyVH4qrxCkWuTrJQjMza1uEir
nE9dI9yD5TnhY9R6eAS67LVxy+xCukeGPM/xborZ22cJ8oMG9fNeJKn14qMNWuGV3AugmXRXUNQI
Y5zXJiO3tUQwuQvGCjKLAlq/5q6az0HS3yRgy06pDHZx3Fi7oYurE8GDNAOMrkaKMMAXL/hYeYYp
Cgo2YBWAIStTkwzYOvYLQmLrEhXJDQzfRcNhjUiIfBRZgWntnCZ5ckO32E66Nq9yhtTAFZ113ZbD
HkqMWGczvrx4Fi6zMATuSRDf63h6C2rzte4MDS+emCAYCkSozb15pHv5mWk9YmeaRXA7R5+nWleb
XwrLPs1gWGh/JNeE2qO5t93Hvg+vqtKLPrewpbYxMokTClk2YHs5I0ECv3YTy4JAq1HJkWhFAhP6
W9xcZ7C7k491oEg9HTDNbkhJ+daAWztMsoJoxvA9RD8dWelJEhwKnsKIvHPn5LyhKiczaeGozE8w
FK3dOOQhvPreDK5aKZsbDkp2vBlc9osMuB+yuCl66kwxPEwVLthVpWtU2DXxDJfMA4kVFq63s7PW
/z0tEnUcySQ6xk2AuR/Mh3VRkbj3nWG49+gmbq2567bL88chSbXuQQLUTXGrW28muRU7x9E2bI4C
JsbqtZo4i2Bj5llYunqNmSthKyJ9IrJDngheFHiHOqX06Vh/ICuncodqxd53aCzJOK7N4kaL9tnL
gdPIIemv7Wb2IYvlFaG6rZvZ6SK+KugDa1qSaebcClx8O9frok9tGg1XVgeiLgmHUzp0okWDMwRf
rHQkN9GhN0XDmH2SaHUVnyziH5goQmU4zH3Bwkw5O1Ai5MYd4h9vS4D957LyHQRibf/S2WAyW6YR
SI9KaT6Sm+B9Goc5mPcCG8l66sAChlXHeawcm0MN1vAa+bZ7p3JNWmhV1fgMGu9ABR0cglGiWahl
p77Vpu9v6yGdTk1rXbzCFqio1ABxPpBnjE4lR5jSwxCaB3d52CASI3HEovhPY5s2BdJmIzHoPrQw
uflSg4fR6bAhxWGOhMLo7a/jLPSdB2z5CPRPkzbTmBtm8NsQYGxNCkPk7AfPyHeu3/bbwU/sp2zS
1W3UamtVhDI9hmljXriDycYq+nXTh3LfOw4LOygvLu2DNd1w8zbCq3dwcBOcgyhiSFTPzkPoNBL9
2FDtc0RNu3zW/mvX8pHYaJp1rweGXn4LyGqVhc6CaCvNHImX1KtIh9FzKUbruhN+dSPmkGN/YEHU
rjWitC0kywrOWNrn+zwrvRe02zRxqia6Gg3HJz0ltPPjZATTt5Zy/NxaQ3eH9HhkrFwzFFvTJuaZ
jkwJwXfVO9dU7PUegaNHASCrE/Owll9XW1+GtMhva9dpb3w9jgerQeS6TgLgeTDOjoNfEicmQ1wR
SKUuaVdCCI764i0rG8/dZgQUfLIjB4sYE4vvgVMk6HC8ujoaXUkvKc3Vs4feveCltwqwQb4OGGPk
axK7+1dR2ymuIEMbx6juOMv6UhDQGEPhR2JMnkM4JWtRpVu+8WSbFeZXWq31JsGOn62YfeptSS73
xQu66s2TZX+iZ21s/IBnYBNb8x59drhBldneStHrt1Rl7NlNzlODTUBlULewWTWZ89SKrvT0V1ga
QPiRT43x9xjH6rpNNBDMyG5LyqTW+N64cXkZndoka8Ppnowo7N9slfgvURfAgyvJRWAAAtfL4bE3
FTlcfDoi5cFwCWwxzTRgUOH2n6ZWJteCiLaN4S/RLmmDJihBo7zmFBVdT+bkbdolCMYym/DoVPlo
8a7a8WCXqbjYA/ToPBt4ZlQmo5B13nX4Stmc4g4WVAObnySZk1RF3W1a0hHYzqY5evBBE05rbHLd
0aEzLtaS7hDrMg/YffRsPAK9F7sA0dK25qGwt0Tdnuo56b7W1EZUGDFUQKPgLig/+RKay1KmoyQu
sVebJVZ+NR5cYYXPE8CsV8Osje+m2w3n0J+iR6ec4b5WvOxoj8GTZOiyMhkMfwmXbJ68FwHBDMkT
B+MQHyrDmjhr7l3rGdofXpQl3AdoDIuqeBZL7I/wjXsPQCf86XJeC8/fkdfjrtQSFWRnosBeF9Pu
xCKBDhm7jU+NjfIOEBcK5TecOTGmKOrkVbckEU1udEB9Z+46AorA+gR7anl73SjSizLpewsA9WTq
wlnLBJ9bQcaRHwWYtn3T2Hghy1mko7yaHDS8s3yda144rjp/b04kcGGCyPeEeIwPjWuCc+z86JKW
/XejRkzczIQGuX1vnhIau6B94vGUqCk/BIL2gDkuxKhadXvkveIta4F/UuPz1OEgdLK7yt4S493g
SGz1mayW9JxJ8jpdFC4WBy4GK6O7aYfxZoBuQL7P6B4c1cRrUfTw/pt6w/QOMwVHwdtRarFq87Te
+a3+1i4BVLVRzXvpJhXe5OALJNJip5bQqramd0Bc2REry12HMDVxbTDo5F2ILrguC+KujOZlKOab
LgtPbeU+1Sq8sOXSMFoislw1f0+b6Bl6zb2HZrDmNL2GEv4aiGTYzxlNSq8N3pCO6/WsIhQ/hnSe
SNdSW1GZb+MS05UbEZt8bB5zl5x5xAy7tKsxeHrEwJL0VfQB5Jv39C+HXOltNBALNlvz15GsMDfF
27PERgwwnKfok6h1BGufidLJVjVuLZJgkiVzTDKjbJLPwCQ1I9/47DRPwu+7x8bHLR0TVgYIJj54
uDPX6Bi6z4YJH2kc+vbAlFOdO2K8DmpMl5/5JE6OlXifXfwd6Ioa9JtA7NUxQZBz0w3pUk54QTzu
q0FyhE4UigTEkfO5RcqtdsRQ3DumC+fe9cgOMGqylCWEUs1E2uwZc161foFZc9XE/Xibm2p5PbPJ
0lfY38wZyakJ22NUtKxockVrtaKraaf4OdNc7qSOUDxnnIcOqAg847rtWi+Bx1mlzQojq17hq6Tk
XFQY+KLCFz/CQqZDlx8gV2XE4IQ+hQhUC0Sxpl9RFkUs+25Tsb3QZ1pmGlPFbK6LKBBCo6HGqBCY
p8k8IhvvKYGbcLoYNvNuM0FD0U6NK65Tw0n6bRtMlB2dx7Y0LKO3Ui7VCcCm/ls6m8NN6k7yLJjr
7zAoZacY785LVBg0uSPbk/dSOy2uKUUlEs29eKuqwXUubbzIBKygraZ17NT6E/EgHB1yfOn7Wlrq
yNmelyZR19jGFQX6xpmieYednvpqcNsvbo73OlGLl9+O61sHS2Ym+/JYLoqSmUf+0cxQcyQEtcHz
dWgKaIp8v/PoESyTmvfr9bWNvKxy1TF0IXJTJ/R7KIrF5/f/S+AX5r1wKfsZywd7lAXzwbQQi+ii
pQYblUmXwLeGm2Hm2GNQbDLrmUv3Ici4mfDCHIRibbN7bxTXOWkM5lj5mw541yYvkhrCWYKj2gh4
i6R0khc7t+XeLRz9qUpaPgBa3mLFPoJWhsYLI/dcfkaoyrdeZogywESro4JNfpuNi33NiMVhzrr5
Mtb4xTGU8LkQ1IaPtUPZ1/RxXa2dKQUGYNTU9h05EGqDGXHI8MPSFaF5yWbQoTYPhQo2ld07mEFC
1MesfzR956CK6leafwmy25SOoj9fBQojOnzAoKUl04TgXcsIRnibwaM7500rrh05QKZKZyZkhD9d
5eGMamNZd0ZSzrseZx3H/zZ/zlU+E7eg8T72IwofHg11+N1AtkBThDLrDqLWIkTpmLJJ/pHvaiQ+
o+e20aRc2xL/n1nKcs+8+c/xrzeFw82cD4yOq2TeuTYroLUJ+FsF/fKCeeo+RGZgbN8BnzWT6k3r
1f5mLD3xuRD8SVba6GCWKXddtdwt6Y4sWLBx06XnhbbTrAJn0wyG+BxLh/DlrM3wyGvWfWxwvJYe
fdbNe+NJGmb4fYYscNWnrCYLKQopwkb1SiuxtJAMmf1Ta47yHEjMbz3Or9cwFqS5hzE/HSPmJ2xb
HbPJoQ1PIflIr5mnW3IVRgPem+5z0ZPGF8p7igM+IfkKtL9C8hk4AYdDuQ9KJDnULepTGyy3txB5
duoqpuS9rsx7UAIY+pcfrKmz+PdiLurXxk+49Njp/pRjED62tFzRA/iGfp0XogeWy7u24e8CPP1X
bL5vnaPJ7JEJpUdbf8XcF6zhc/p73ZM2Llq+nZZAhk+kyOMz6KaAjkVJfN6i4ooqd7pYtMAvddGH
L2pwJmc9u7O8yiNT3pREgp6cfNGDt1Q+zqZkO9wLRHm42BRfsbOsggE+99mpFzgDyBRs3EQZKXjt
HasEX+5bBOvjlVGkUa2ZxfKbrpQTbiqq010HMfGFiJJyH7mR8ThTEHz3wpoPHLTLGlQCHRCMvvCE
JAmZum9N8wEqsb/xfI+yz3fj/pvvUieTUyLHz7pKxi+Q55hCaQ7kilYqvP+YYwVPxjptzlL35TXW
jO4Rir3/e91D4Ulgtp/A1MBEjgaeTHYykOHjeBOBjCUroEdn/5K6DmIsEqtUuPFg+/WbvE6q6Y/2
83+FDv8mdLDRSv6tcf2TLvRY/v6TzOGPv/lL5mD/RpA8JkMgQ5ZNv+t/VQ6+/xtLHiggSk2fKYfJ
v/o/UajnMCoGCYP44A+Qz1+iUO83TFTAQFyL1jxsPP8/UTnY9sdRFFhLybuAnwy91mea+WOTvTN1
nMzxaCyWtpGIrJz0mBQj9YocURZnTM+KQ5iewE90Rj/QHkCg4MaquMxuaJPygFR9i0uo/93rZHEz
h2P5JRApjrmI4FXQDFhaNmMVtjvipMovhRNa2C+keaMSntykTSnrQjfU54mdFlHBETp394nrP3jY
M+7V2PU3on8tKqVWsY6z57YX6gUVXG+s5z4v530maiKV87YYYYSCfl8ZVgSUYgxKa0TVDb1yS1JM
9hYbGSpwSxWYhCb8u1vqteSYjc2I6T8POtrVY2jxyw9ne+Mois8tXSDPWiv0ZpSFfmrtm2DxOwP8
jc9W6vU+2i4vgR9U5ujBiSypvi6W0JeqFfN1pyex7qxcX0WBHr6CEShfKDxoIPY+1E8qzOaOfIbo
1YxNpHWpuZzsux3KKTK/6aWtmV8N1zOWwVvHmiqysvyxwRxTDB5E5SS79q1ivEMeNu/qqd1woj96
3oDhE7rtui87LLb2tB84wd3KRtMwS63i66ipcK2x8G9dR9ZH/HPtgzUNqCa11lt4ctYhnGtJW4SW
xclpyR1OJ4p/2rIJua4wWE/9nMdLsxjH6yqhA3P2RWGWa2VM+bNFlfsAvVUhKpQgESC3yM/EtoSf
OWUsIXcErCx1+XmYzXQFj96F3TbZ62EM5/Mcye5Tnk01EStBoc5DqJorzhX990AFM8+jqaUlrQmF
uuntMt/WTbCkK5GfWq5Qd/eX3ECogjR/6TQvXJMIh6RD8kMBtNikPPpC9EOeLxanhrZwY0W3pc9G
emAmldwztbc+mXSB74LZ4WoMptSDrE0QMk1sX0kz7amDuyo+kKBJx2mq6o3Z9s1hILjgHokOGB6c
nS9GiT7PEkXwbQChq3Yu42Mb3Setru3QNMF9kLrzsNYYiI3PzBXcWxJLl/BLPzTKVaDn7KuNKplc
idjMtkj3ik3gtBIHtiwf+R6zJxpW8a03pvqi5RSfPA6wwVZWQ3OOw9LeGO4UFUuWHFREqxEL04Cj
jNHw72UV2Zemp1TlGF3U12lJCDH6y4Jf+eeRcDAbe2XETJbbMzKHrE9Bnwj+qypl1DIVD/opde9J
2BtFfi6FGEtantpokS8PACjDHsPs/TT01nSKgagdmsG9lT4pmLVN99ayaIBijqRpyCSx32rGbS9h
GEwcGcM+hxphB5rMJ7NiRKWdh65zaJNOiWSUYtMAistEXNt1MZ5bgtv2NhbXlWb6us4yWD1BiDcF
jgZLkd/LfahRcK7IhcufCJq2irPbtSK99RI9k25q13MnHuwZRQ4ABc8tHSKKGuMwdOrZzuPhzsj8
BfOjrOFoqf7UR0Q/Vwy99kWbmZt8zGcOx8V011S+eezSvFnRuo2O/qTzu4GH8X0+pCPdjzTZhVaQ
b72aLxK/ET1OEpMlWlHCwVcdgXz4aJJzn54wFvJKltHQfA2bbZCYLy6o4ZWTGqeUdMcOFMOKYaPm
ZQyCNBttP8cw7YE6ERwjuS07OLT6JhH2S0D42Gagd7LFJmtciCGnTb7s1lOH9le2hLpFIV/y9LvS
/RXDg3wdtoIK0KRlI4OMmAYdPzFPBCSZVs++R5pR4ddfHb6x7ZhQCE3UBLj+nyNL3bhDmt62TfmZ
GeC4MqcrD2jIrhDVQ58QGV2MXrseBAARnP89Z1vkmqsOr//Bi2W2nlwCXAlRafCSxu6lSaQ+KUtf
teT67SZQtnuieO2N1FPWYOLxxMYLsvikIo+kX+JC5pd41PoSjIO9c5HRmiwjwqO79kx+lgkjqSvv
BWyWveGUxt6eUDi3E+EYkwpTonor2a/8xKnvGiLb761ZZeizkza/y4xxgFigfveqWJyyJJJXcxE0
W0MPfgEIZARz2RNIT5nH8nv0oN5ssJkCcKart51h5WDdiaZrODoAp3qpnmbytdeGY+trkhHvHGU0
/CSyeK16+FaFyrAPFXnx0OdheOfAtVnZi0TMqcREImJ/FYSCmRBY9td8DF9jLZo7s/aGW3MMxqsE
89O9CxPmASdlsW4t96Q9gtfJbmfnN8QnR8fEcRv8B1pDYNIM/ihFvK/D2Ot7xNIEDXfjtOMcG2DG
9PLvy4zqeh7Qzs7deWhtKwc1pO1r9hjjnLaJZ9LfKJp7h6C8TYO/9MoCs7920Afsg1HHX+2cKo4c
Eq3XXtbdswjz66AS+S3OdCKMS9cjDnHGmCHfmaX2pjVTdSxmy7rN4d5ujG6qbxBGf3F65W4Jj8se
igA2n9N65ifU7M1OD2YmWRkx8nLOBe4a2V+5mxKT3DNsdXtZq+TK6N3g5OhhOhBgOh7dlkfkmM3u
0chhu/0hLvrvOflfzskWNNpfnpOfv6miKtu/m6f+/Ju/zFPyNzSZf6ZvLKdRmMB/maes39jH4CPi
E6Y1+q4U/uug7PzG/8Cp1aTMB/WxHK//PCjb5m8etkUsng6eJ+im3n90UOYY/Dctihk4Dh1Q/FnL
GR6B6gfplC/7bsbF6Bx8Hz9yEWP2T6PG+he93XLY/ttVMKMiOpauvXCdhYuq6MfDeNghd7GqKDx0
aYlZmUY8CZdjWH1Z3BC3zNvw389NpjaI2uuXv9Ut/6D2Xb6vny6O3g8bK7fN42b/eHHksIw2eOwd
IjuAgOcpDehlRPmLYSS7J4GqekWKUQeAAQlg1/OUfBuNtiy3rnKtTb4IPacOjlFL7h+OdBhJaLHi
GxQpSwhajmqgnVSNjzLCz6W98L5w8+GP39//a5z9xw/hLXZVB7ebpKL58UMIZdcWxipS0GdQSaON
gKIwCvtIQtz01FiCToPMPEKaCgp49Mb1C/0A+gUVYhUmTAE659Icbyvt+yvRA1YJOPID+cjyI6ef
jMz3QT4W4GN3UznT7ED+lPyL8okl+9P3QL4Hjtt3j/FHYammsdNN9LEPiQVqR4k5X40kSdGe+Dcq
7QeB9/tyI+ODYT0aVpReH24WUYG6qCVX6i0EImDq+PJcsEiqtZo74cCH/fUSW1bQx+UNCxSrEEuc
xPplBf4N+21KXZYF6eGHPgIKyo6iIVhFwb9QcP/h/tlgTkHT+6gcrY/E9kCxXeSD4R+UOSR7n7tW
W0FyyLT/+OuP814bf/g8pKRQpb8TlH/aFOBjm8HAGjyYPNuOs4drOQ5YM9PEFzcVFo8/Qjj0qqra
7B7GnH+uSZJgnAo3KsaSclU4TnOnJpc+lts7mhF9QuOuxyV2ACGIDzMHHgaReHrqYfQw10e7YBDc
Nsw4FRcQE8gYcwtCPzlo09WfBhci2q8/pPWu9vvhU6JVxwzheITPkCzgLB2Ev31roRnmYL6YJw6p
xbwN8gqkzFAfoUpluyqj4wsy6jsGI2PjZAweWLzpIS9SallZtzvmG+q6zpKBXh2tzcYtxSdpZsm1
E0z2F28oik8O0DWU6eaDDAoAXMgRCDEmne3RFBminpnUJXISIeJFpUksYDLts2gn0z76wnaWHdzW
Ad3WmeCFkqq6YjITH4o6xHkVuaCnSvLDKicptrFpy70Gb/WoQic9pgbBoiVHcchIUfiVlq27LnCh
HSkO+ps6l0Oz6mfPPhd+k+/70HW2dW+SbWcjhXQ7uEXrFt7yIVMVbQlNJGnDSZbkT+PGCerpdyZX
Go95TDcza629E9qpXqVujDU+q92N4c32nRNb4hFgV/HJi+Lsey3jalxlIpiIq1cxpNKhYi5ZlfH4
2fNLwHqFqQ4kaeXHFDLPGYOae+Oia9q0foL7zioSBlht2bwxwXNe0fNtjZGJchxm3wxixS90KoyN
HSXR1vDUqShwuuWubLaZGRzBQJfXVVgDOx5L4DeR4hhleOUez9t5uZ9km0DSoS1lcGwe9EoW1ouz
DLTsMRZH6JPF2Q7r6cnIMxybkinBtewMUOZTH5tbwfMFg+xg7c0q8I8duqJXFbr6NuU+lUem/kyd
UWI9ZvaujGtWRA8uCBiK9Vo1iqTRmPmuRSp4sVqi357AjHbE6o0DX82Ik2KsImrxDg2YdWeGSAbZ
2/pjm1dY6VHj+SsVm79biu9cubK+m1R+SUIHG90Aw7KP8o4IVxoXgOa6NarBE6V/tGjiiGkOxuih
TFFnR+6XeJzEIW5bKJ9ynrapclEQZK9mUZabQel0baRu8Nwyg9tZSsmzB5kQa2kWrCoivsD60ITq
0sZYDqzhivCMmC2qG9ayKBfkfjVeGYyz95kGIDYZfkgedDzxZsZwR0PARr+2WGSVaHoWVz94Gx5D
UBoj30XROCTJhomruVeACq4cuPxnBN1irbAovtIBEXdoBz0fahDTcmhfaX0zEx7ONqVlczVN0j7G
5ZgfpJWIg1fxc3GNqRKEwDQE+3Zb7Klo3TyKCAJZCWEQaflVgdz9nIay+9319PTZ6tVwKujaHLM+
aMkZqIlWEUa9b9qMpNZQ9MdO8vsyJjKQoM4iQGPu6Wl5LBOSaZBhNYjtChEhGzDm8ckmO2dnLfF/
IovqrZ1X9jqdunAVEGizl25TnpMF+1Qim6JW4h/TssvQpbhj854svHGrbiKsxAcNpQX65bSfvvet
GqprMUX5Jqw5FMz9JDAbmnQqkPpukognh5xDf2WKrt4SGU1Fh+Hw5LktqEikudg3xXSFE1d/moMB
ICA/1OspwYG5yULScoBaVP03maphE6BGOkxpqr7G3hjh8gUxFhPteYZSjJxKcL4gXT2+wRjN6WQh
HDIVFSsXACbvLh8hMnYSHykjvOweUlzzOU0tsKtiHjaJwbkQGfGELklaxwGn7Y4UpO65ajEaQbYB
J7hMAvPUZu8B5LFqQAlf3By96Yw39zBNVn1txQzkPE0gHLYOT64xZWabtILDF6ieT54l8U1A5Onm
He/YtLP5P+ydyXbjRtatX6XWncMrAkCgGdwJQVBsJKZIKdXkBCuVDfq+x9PfD0r7r0x7/eXreU1q
uWxJJEEgIs45e38bX70ZfljsCpc+5jZ+R3ez9vkdA9o3Bu8k7XGfw8PiI2mWBENn2EuIJDZRvgE5
+4NkYSCQviUHstOXvUgs1Eh2Hxw5qyCvDGiVcI5sjtCGHNpnYBA5Aw9PMRpc32CafkzmbEDzj3vt
Roq8vgkKTZ26ptSuMy8QbbWMnRe3A5RhNUfq0xgotCcBQUZXAVGRWPuwvzZCJ5WOPsSLQODdAhS4
ISC6vGkTnYBQzovGSU3w3WoWBdn0Bg7fmnDiqJ4Oeapb3pAl0a5E3uGDA3skSln3QHlAKUpH5dux
QGpbuMOGbPLhBjXDHN1w+e30S2M6dXTbtHmNnXwmdrubih5RL2rxbWPQnb51gxzdkjnNLZAvRzej
8zTqTHYP79v7fwvWvytYLcwUP52E/jLYef7Wdv96ipswLn7lCBk/fvOPspVxDLAfhIerF4zikD/6
e9nq6L/h9KP+tPBqYWn8eb4jiLwk7ZRhIHMcBxPQ/5StBvghGELrodLF8cFg5p+UrZbzl9Pwe/wi
mAtbYtIz3r02P53eQjh2GXtXdGhzuz+B9lQG4+CqPeE0MiG10xwmqtmQ11ZqDBfAHYp4IqlayHEP
m00jazjo7V0DeeKBXA8C5Y3MfYqdLruJXAJ7jbh3y1M5oTrsLZqj3pRG6oCikN53n/TB4kE/HKEh
OyoDXZEqazu4rJ+KhuW+Dsxj4aQ9w2qQ7Dj3nRA1WuvC/VLN2qRKIMePT7KFnbZmPs0fl25YPD7S
vGMCRNSOmfSXcCwlyqaVKzcBykGytoZML1pAcwrkHaodTPcUUph/qlK7xEGVtNtoSsZ9Y9Tl3TLO
xWZqDfG8ADg5JYaYHznGGLu5odGuu61VQ0pcP3kG287XcyvexjJBwmqrocBxPucPYaTUDuhn5SUt
/9kWtTy5Mv5YYtHZhEhd7xxzpnjMOk+rRbkNMdaGYMvN7iGtEvs+KKVxCRBdg64jO1kSltDziTNH
W7ZuT6Yl/ELT1ysEbxbhHVvec0pTsDM9s3SZbmi2vQkmg0Bv9N1g+29tExi57KMPZN0P3VZfvQZb
m3OYZ6rRRPoVLiZngwacaVswh3OQm4CE7/b4H7qPZst+tQHOLX1t0EmbTGaDZOsWfouL1vJ2cfR9
l4hXpla4V/ksPpveU1AgrELj+nFOmem4syg+NavSWEa4tcA9RNQHMznN0PSyJAyvqK+MYjvYZXbn
JHl9xi+Tc6nBktgbYAcWZ/rWAvquBVstsofXoAn0y1wjQVWhNd3OS/Wt041w5jizWP4KrrtfxqQ9
Ti41RMJEDuHkdEvFFWxo9cGpL7TgIo3uJWxL6KydnR4iqwnC09iJbLhMkALrzw1y4k9irPvvyH3l
xQJVeVo7PQ/g7uFVqaK/VW1bW14HNQbKJ7DJO6Z1n8bJ7M9aBflEH8U3s8gpbcay9XJV1AeELdiB
YkN8AKNHBz9vZgfdVtQ/LloPNmYIMt+qqbPwcvR9vhdmr5IdvEDCHbJiHD9F6GgEFB2sLX6r1S1F
QsKsa+Fb9pXd5X5ctIO4YO9jGiIicctwjNHlBHfnMlT6/ajk69K6r5BaODsyF2hskVd714or1DIc
6JqboeWOEaFuPXN2fWQ88E3ofQDyxc4qn/1K7FU2DM6HKGM8VLh4skEm6/uQNefKXwg3NkGy57aO
T1SR42GSzHC4mXGte31Ip/auZbgV3jjB1IRe31SveaxV7MDdbPOW8D1pfXA/9IS7NXVaERNjDNt2
sCYmsgTZm0Z0SAm8pue96E6+J8czd8lqmJNTaogkxU4MIWIziVLdtVjlsAqV0QHjvPTraqWzYCfc
yspyns0mh/nfLadC2No+7NroBr/LejLQtZ0K5mGDk2/cAeYlrXPK0peJcdI2h+h1cmJcDEWXA2mf
ZU96OzmVCCTVhWnaOmVOh401RjnBOxzUE6AyxyQlXbvs++pmMFc3gMzDu5EUDa5AsiyPdSbUQXVO
c0c8gPY0htuoz04QV8JtnrVAW+OV2o+mB/ZqdYKU+KIHiEhLZFZ4iILFV/wUphRR3qHDqzl3IDon
kw/RveCwpgz7kFpQbiy7qS8GSfKPNIIios7RNUVKRmguq2W+CTQIvZ6bpenrkriwWCZ7PGEup73V
DJ8oL8FqotCbNsqG6K5jbt1My3DOlnD+Tmtg4L/aNgifEFiLHVf9zRS0X0x4zVtQkXhPIiwMyKNF
fyAyPfPKMmhu4aF9YmMBINOBXS6WeuQpDUptge00jlTiedx90Qt2G9827fYW7Zq7G0L5EILb3Bta
Lk4x5zivKZzkJrMZw9Cj2OM7YUjGBusz2mSUhSVhrzeFOIiZM2rA4Ohgjebkc6gUJ6vjmE2j2dm1
FcniPRmOJ9ResT/p2TWwyDSwgb7djIQQOnjC4u99PPclxGB06XnF2os5OtvS5qoPtStx8SVhWm9x
Edw3svQw0qLwxj4z30VVGJ9jMTlemlV4N5bU3ZKLI4+03ILd2NenKc9rXyxY71TZTOg1q9FnWF1h
JaBeXHozOjSL++a4XX4IVfO1xrXn9+n4ludm7ws5E2Lfs93IJjrgRA/3/ZgZ2zxwztgFrjQnjLPB
lH7jkARyGc0Y8bDWnsM5ufai1S5jlNxPXNdjwOyKpzE7h/Y7LyAFkzzFpBnSn2qtnVraZmvi8gOe
PPSd13A+/WimSHRH1Nrmte6xph+XpJt7JMYiLAEALRItaoxpc9PBW0YMbY4lvByrcBZSoQK3Wh6g
GbraC6ysad7GGFOXLYWL7okBrwW5CqnMMtO3O6Aue5AZD8rGdr9dhoWjTJtm5nkAKM5tpaTBnD9B
vi/Q238j52FCdNkv9QcdIlW0BXu8PBtVPz3nuAWPdpfIU49J5aaetRH7QW5PjJDmdDhSaY0s/chL
dtMQdfuZXoYvc1ZM6B3W55np+pYxRHKkQ98bG6Xb+dVZ+viYC8AewOF823bH3aw74dda78mwIZn+
vp2dejc6taQz0AFRhhYyrzoELhD+u2kXiTB8MuegAlFLMdtUacuhA1/YPm4WEw/uonoaQigraCMZ
1Cclze5Twxw68jtUxhhZdPgcQA3RKuxUy962cfATJl5rE+u4pFl0nFtZhIRatEN/IPW1PyHm0Gjl
1dbKWcLatoHP4X6QingMr+yWOiZ/BIF16bhLs42M3tqmYS1eW5VEcgspO7k4UVNfE5f2AtoLPCLl
muLTxsG0axwsgNjjpgFRyoR+grGxTZh6M3fPUK+ZILfIIvPEyYEb8uW/LEbMELdVN0YX9DVC1I6i
yClGpPkpXpa2NIZ9CJRgIKetDX0DSO/ZnC0aNZyACMDJLd05mLEpnoMgwkhRgYL1wt5wqIpnsxi4
XTrhxU3XvbB4L77BRTqVrnwz7RTHqK0wK/CN4ovLUjFPSBnTyEeUBx+k6ZXudR1xDYAfo/wDYTkO
lXIa4YtT0V2lxgouUt7djqiKD1bk4MYsSFO6YArtUwyxBb6DgtgQ1BUGXs+2RqmHbfjrFDjRJ5cz
90d9tuxTYEaFhUdksG9bwdFsG4QydO+wMxseVpSXLidZYqZ4pUGgzF2mUVXrE2D3Rkd/6rVJYr0a
lYlSq3WqhhmCzTqQ6e5dRp/tm64FFOHM2D+znsbHeNSkP9em9TIMKb6xtMntYKfVcURHUSyIxalI
mXR0xrWXpeErC3cs6Rmpn5qxy5iXNpuahuG02MN4plQdrziCUf8U4+QlimEtboLo81yPU73Ry9Lc
ybgEk1YxmfVrHfR2DokBe0THXN2KrJ0+CPsr6tfptmrj5ewA836oRmkjo1zHH2Un20e3ENlLiIuY
efucuMcSt/UxtjNxFBWAcpv79STq0LqgJB4RHuB/0hd4VhrYto20zcqfC8ysjUHAkFIBTUS7w5Ka
ZnmxG61K3SSZVhwm1C2bys3GR5JLjJ0mGh+rRYLXtAGZluTDOcGrf2KRGLY8gDws9qBzYGHlM9Im
9iKtrnBJJZY/m/h4vXSY602ZtzzrjZmcqpgzSpaLmgNUl30htBs9OYL90Y9rkuuHrhy/WlgmHK/K
3Olu0HUylsbGLHf/rf+LLu7mv6n/mRb/5/r/kGVxgfrp54n177/0h7LT/g3qjU4RAUOIOn4dn/1e
+rvyN+KlLeZPv2s0GWb/MbHW+U+U9nB5LJs3wVj6j4m1AZTYYnvjfMw6tSpC/1Hp/z7o+mVwI3Ub
/DdiUfhVBkicXwc3sRWbGEra6DjV0o4pVahFVUIgQVXbGgq2SZoEcCXuQ5XWjF3WxMGATddR5G+2
XVnvG4lhwHPKjD2dQQg3LAXGyD4uJqxGZm7eyAQHzCV1kwbPhkkG0FAZWC5mOB2gafR2uM3gurGc
BqpHwsQ2aq6uVesWFZxdbtqxWQ6LXDoq0qR0fchARuMPpC1FnrF64ts2qIaN6Wj1m5vM9hfGKQOz
Dqx74SIMiu8q61pvdhR1qMSErt+6ehdtWze37kYwQZt86K8tOUU7OsycpOgZCmPLATZ+qKA+XRhc
dOcGCfc1T4hJ8O2p1IiXcKZQbQolQkASSXXNVDUQ5DHWPpEpMzZ4FCX6qi2RkXODHIo5SVTG5U4V
jJAQ1K5ylHdpyqRYkMxVr5KtypWYieCD1EnFcyPzUzis+pZydmnho3npV/ULfElzG0n9PlqVMWrV
yGgzKsmp0rJ7A9/s2SjGqxJj66l3eU012dEX0j6qG3NV3zSrDoeDCvEe9L+viGuR6fRRHN6B4DfP
Y1Qg4+lWRY8YWYDL8hxUTf49QSOzo2gBNqpItQ7Zpa+M0b6oICi3MiD0wlqVQ9aqISLy4Nk1Nblp
Vn1RlanjsCqO7FV7lKwqJGPVIxmrMoksLMKO0ugtWVVLqrTG7RJOJ4qemeoEbRMcUHPTWJVG5Trl
DzAKc69IMwRSqy5q1QOtZ3Y8zUl31iZ0rTjB2o/pqqgyOS3ScEdlVa16K6l4pyi2wq0YgvBxcdaK
IHM4fHlJQYsES1uCY62q5MmIanGcRf8VvehIj8HMLvZQ4JVC/4sHbtWC0W8doP+sAjH6tcvZRPPp
JdWgoTaeyhuKdjRlOne0verMGMuYpxlrVdUY7HDc9nflZCyvQ2MDeNO61R24npYqM0UnaKxqtppm
/02/Kty0uj8h9W6PMDjuEIKtMrhVEYewMPEcPCF7410w13IP4mZFRdcHWufRrnnSsFFH7XJ1Vrld
YJ/MgSCBFh3ePPbJfYQyT0OhJ1epnpuZV1mLzC9Q8bUVxuMcXd/8LvDT20+53WQ74Pmo//JYp/TD
EF6s39T8FVtttSlXySCKyWezd4GOzm6wr1Zh4Yiy3IdeEG4TVIcshu0HfRUiaqskMUtDdZhXmaL5
LlhkyENFQjS2ZjAyRtVor/JGMiNeibyp/d7OGwq5Wick47igiexWcSTDhs1cxOdilU2aDAVI0cq3
+ZTk/jhWHE5/l1miYQuM7FKtIkxyoQEbLKlxQPc+XfJVrFmsss1qFXAu6WTdmWg651Xc2cxmkG6R
1I6URd1TL2dtr9WzOo+mjAoG+GVrjoLpn2YiG61loyeYcFY9KYEFiPact7IulW9ZC0BZY652po6Y
N3Li4H42nPiDitrPhVmZB0U7YLNw8LKqgX5/1IjuU9vwkWGc0JysMv0UZqDVha64pUWITDwHD5LN
UXY/s+xuoon1LisbglOQAnxaehciS8D6PPTcg/E8zZ/cmVqNuBpRP9TN9FAIOpehU+QfSuI4mKe4
WV/dhyqQB6MaI7KtddOuNpniZN4uSXmo0oGIqbjosm1ZFe4V6Md3wGmjF2JF2o2RkxGI5MgYH6LF
QLWyihwGA9VkDwK6pGVFzFZsaTu5MNNy9C7fzUxKeMQLkjOn/gknC4ib/TwU3TEvRNSzt2j1l1RL
GNJGtHKFP0Wjbn1IG2aiG4ahzj7tnWS5nczGukxs2A/4XHhE0pFb79Dgx3xpZdwco5WBQlPHUG8d
d3/syb4OI48hk21uONTZ15rkS30bSNEc6UQ4x3oONJj0SRHug7o7zLER0trqswdCygw6UgNRnVEa
oLR1lzF6reD5+kz/c7qrYfQZ6Y5Ay+s05KSjSzdvQ6ORpGyYlW1tlrEPDkMFWX40hmFAb79ol4ql
/XsBzmfcwJ0c77qhbe/nSa/Rs9LYaTCY4lbckJuFbYGY8f5ZkF7zuW5E/MqeTMVNvsQdzOf8A7Bu
97uYIsALURYYV42AjmctzZZzLuyDLa3sW54b1ldVuCrexJFR95teDQjiCePEwT4cOHXn1AdSn7dz
1jBRBy4Uc2xPIuepH2ZF07TNvmpUd5gR+1WnY1XxeAGObD2xj7h+NS3hrp9nXePcyxTQk2C+w0MT
T9OXNI5dk8UoDJ7IZB1oLNSCu3KOtPs4seDu60bevJL3mJ6NrApD7uLOtBkgMtxy+zr9anZ1eq3G
4iGDrKV78VIEh1Sm+VamCBlW8139YamhVXuQqSHlw9kI4LMABb2rOEG/qnEev1FV1Z8cbF87aGEu
Gcd4xN3NRKl/bJCO3DN8xQxmtI32xRRz+2EmXIiQd+LD9r09UznZ2lh9csOpcGjYBD2YP7AO2yRO
amCRdp48Y4hDHOCURndNzKDHfz8Z9RmWUHbgmSOOhLYwReBsUvvwzl3fsBvxGrhdYPoo2dNpKwdN
3fSZGV9pg4gbcl9sr+j7AucwfuAblufE2Sg55N5KLLqdx66mmd5ZW6syBRCbHuuozg1HhxbCr9MA
WxKq9sjz63xyaEFTy7a6yL7ttq1S7m2m4S4hkZbE88lOqkNrA9LZ0OZoXmljdsjl6bhLD8JJ+ZLO
elX4HbE2wJ6SevlG6K5xhwS52hq69WaGkfvRjgpYwXTTd0bEMJZ2gB3kqD3SUvPwYbMiKtQSaO+E
fecupv2JqU62B5CIX1AP1QoTMGbjzR6b6NQF0nhyuyiKN05uTOamblA4YEwu9zDV+Md06VNnTxzU
fHXSgLnppEfy8+ASNVEVqvoE8aW7KMhvhZdMunjtFw6QGCjGnnsJRhV9BFt+RchQM9LKcfUdkYYF
L8SUFh8RhVvtzkBmc+pb1AJDotEvWpq29nICSw809u4F/Z2XurDpmg2g5GCTEP0FwaSPvGLu3IvZ
ueLc22tig5tj2EYDpKPN4WzoSLqItcXBYoPz2XxD5qAz3AF3/0QDwKbFno/IuqRmwMWXbSzIBAvD
c8tc3B/Jtz7oCVbkxVQdtGojoyEu+lupRb7V0+aKEr0nDrq3bPKV8RlvhhaXaWp1zcdQ2cGbZZbB
bkBGlG74NpfWqxqzv4v0KT2EHLMwPwVKVBsmoYlJpoaZfK2Ey1wLInSxqbQoY2kxxjtA0NFzFkzZ
Y6xEBK1JYaeXQX/bVCiMuMEt50T7wMUIyhkxH8OjQy5huyuaut87sUtgR6GH6Uvr2PS7omAE8RzF
qgv8qtKRdwfLcko1WR1HVMC3fMLsVgeD/iVYYqxjcdch6aqHHeOG4lBnIR7ZdHmuZtDhoDNk8zk0
avveqGvtm8Sw/98p+Y9gnL+pksmKWnNf/nfO88OafvOv7Wc4JL+E7fz+i79Xyq71G1RPuLcE5yhl
/lwpSwHr2TLhZCiqVB0M9L8rZfWbaxoM0A0kZaiuf5F2owLRLZuD8Q9F+D8plPX3NJ2fCmXhrhpy
gciRSb2ObPhPhbJLn60Lglo7AewcLo4yc38xG3XIsyXFucMyK7BBXo3MGhBr0TeUHIEPwIWxiqTl
+DinVn4yWj33ZN1xZEHEycE2SQpoPzLxsBdFftqF17Ay9lCwhk1g0q/GYP809un9qBNEnY6hAyYI
eRVxrJMXsMnS+qUOYMbE7lmbmf6Ari/a8LRg1TBCGp/j0D4SZECamg1Pfu6b7Ctul83sGB8TmmVG
1dUs9v0FrgZbVGmpm3pUcMiMpM+vpOD0x7JykH3ZwPPZGfP0ZiBKcptkBcPV0aJGCKfcT5KlA8XB
9KVre4PoxXLNJ+RynhtL06fNSMd6O5A+yM4y1QahPaKY94tohA9SCACRqtWtaJw9YQjXSkgbU6Yr
7/JUnsC+4VSbmDgxItf9NIJ2VddOsOtElWMCNEvfweiMPDMdN5ifPfzrtDiZwKG8IrDYVpp9zOl4
ekHJxtNzmt1NOlv2firIVvJUO5Fhni0PNUPY7ThHT+4s9Y9jrqzDZDJRLmSpYyut3a2YjTI4V82s
C2yfUdwgRsRmL05DgTH2gQiQFP1bTGqs9oXgTslcggwqDbAYyYBoXouyBX2jwCRsNM4vCHrotFxr
o3DOnDuAA9D352DXrJELN7neNnvdVtMNJXRRbGJ8Kx+mvOiumt1BEZtjcl+ZyS+tMWy6MFa3NFUh
5ktsn76WQuZDPegCTkrwWp5pEBiVttXyCVD+TVk1yBjuyiSLWbtJPQPajE3OGFqbQL1hwoRL4VV0
Fi5aPVDXZqnGGIEfDnUtwdgOLCPhpNel+U1BDUryMcKtYRh3LgCCfrkxl6rpri7D4tn6OIq+FQ/a
MFtk12vo1Vj/8VD2k74TUJMnMglSq1RiugNrgLFzBzyQ2ESJuuSZqJDpQl944cSQQKfbMRBL6JNq
4YS8QrmBp/Vt6/q0wrWnKFUxmrvFzhFJ0Re9I9JCoGN0669qCWtmrHBCrxTxGgJVW+HvJNIuegpU
keZnLZl14m6rWXxYhtEaaJoTMeHh6yxxjuJgOM6JjPYM2zU/XsDIeOzq8wOURBt9i9ZMzyk0JiBX
tWV8wgyK/y/Mww91NNcfyKR1QHdVeHYjCRKQNyDuFtEqP2dM4k+kW+7juajurbYpntypnmA51iAr
NuactAgvXYz8DK2CQ+RYwcGpOHZuVIs2gd77RFNLk1TAQhY2X/mSkkmojA7D5KqojUTbXfvBLu5r
h/xauzY3kRyIB0cZ/Rhk1XSqskpXm1oLlx9mkf/Kxv5mQ2Rs9x/3Q68sim9fuvhL3/3cOP7xa39I
xuRvq99/RT9DsPiRbvBvp5OtK+z9EAHMtafs/ns31H/DwwQE12IrXBOceB+MGNfsOVP8RpuZ3ZXN
1Yag7f6j4APzner903YIf5sdVxc6WzYTL/FnA4riyXZRqQ48EaFE6BpnfrQU5BQxNput9M0RA+Kg
NVeDzAEX3z5Cy2ma06MjYUeJznl0MMwctaxL7zCM3g7Uzhtbs856Ddc/E/ic7QQ+x9ybExNphqym
kYttzfZI56R2d5WrEeFjIQgnAeJSBYPYCrzNmwR8nC9re9qEktfUQpS75KnxmoIyOknbl5WG3isg
WXVV6p6lkjcikQWAHX48RXbslYPdHKqheWHzJrxEDcbmPYgkD+wnbRRXLA5vQ8PLW6p6ycr4exl2
ZBGUNpFXln6h4cuQlSRoCuKp80VTv1gycTcdjdfNe2xBETK5Zi0nykWzD03jHMKi6/yg5dIMLgUJ
A7zNAp5Px2C6sQjRxjkMA0jU/NGM9jkaufAjH4HLIJxDjjF/GzT8FJOxFScJIScKKMixh5f7xGyI
oshQMVvUFx4d3AtLF2wmfpOalEmwCxOeaqPAPc8lqEDW+7jJl0tYZheXbriPgITvJCQLVJn42Zi1
Er1X84YM9Cyce8KPkJNATa5sE7csvs/sCvvaaHS03GjQRupEcCRZ+CXI6Al3xHiRzdH5NC0rrxW0
RyKMzvTA8VOVglqtSdz2MXCC9BbvAqcDLYNfsKCQHh1uDqPlRUdlc7jSHt9vkriene1sQhqtbO4D
ORsXeGmgrwTce2x5oPb4H8ajlyHmTYVJah5Ys138IZzbyjBn0O9yuBiq9S7q+Fnh2ue4lem2LjHs
oIlLPACvE5eJG6vPwC9gyzlzP3+f3BRFAcTMDVieNyyKfPcL/y9Zfc6D1FD8dw7u1gHaZp6vzVeJ
sEbH630nanhTTdu8vH/fpIICMsq4rbqRzxtG3DJIafjqa450veVkRyHD7zzk3NUWP+tE3J2Oza1S
rs9CWHfzRyIWjI3lJG+G5I3w5MGqxVdz7rlcSGQe4TR0IAZ4Tmy2tyMu5QUaIE+Ha7cvdsoftGy+
YSQgazqSdX6/GEXFQzFq/GiV5m95idA9EHZ9zHS2MFqjFW1caFBz4cpr3mL/0IGHbkbOMZ7RVdVu
yXWdIFXEaXljckkF8J4xjNqT02oT8BxgITRqYu9dNJ7aPJRIzG/jEflD0cMlgNlO2vkIF9jReVAB
J4itM0SZj6c68xF2fUeaF1+GiI7smgpCGBxicQliekIdue1L2K8IMZB85HzdJmojkswFmUHUuwyS
1scwdUrv/bvVcj6+FhS3Fo4RlhBugQKdHJMmrs37XY40e9lxgnJv2tBMfaCR7s6it7EdNW7n9xtg
vcN5xC+xuRQ3xswy5g483yZk1v3719z1yBU6eI8oYenDDJi9PldrtfxOKkeND16vl9o+cA1WLxW/
xTP/MMr0O+ohYwPhlHVF42nOOSd7QKxgJZGvdouafDqrSd04Y/KmYYLCmzMWt0EKJoJ4t9jrF4Ge
TfGclouStxzrwctZ3GSk/hW3WgsvbilYvhCXfC5aFgdJAyaezBs3ysAmMf66DSQWBLM1LI9zqLFt
GjxpNYdVQgBa0EYr+mqKc7FHZYeFkmxxz0bO6QcjX51mg2AKev0SUc7d0M2cUfazmKBFGDxV87Hx
NsTe2K8yFRhI+9xhBctt8rTf1ybdxbD5/tAOMYHaGtgl/nZ0rxpuiUaZF31O5hsr0GiJdeW67dAb
nOuJ5HdUjF5aZmLLZKe4JW54ohEDANVUXBoOXwyRuMSYjnFNMFS470GUIeSzUt+cOtgYjmIJNBXV
UqYF97oE1WCVeL6coP5e2/zrvE98HnqgdTHriallMeDv5osjNOUXmqT5XdtPORRlP9Wie23sz3aJ
OdQYnfA4xxPEGSL1Mrm1epRPeopXZFNMmtVvl2z5lKosRzjIiYC5IHwHbbMsTfKm0/5GsZi4youF
/qhCuNWtM1bJ3Ry2PdINwVdoEFAPETyUqMASUaPTAxZ3HxHHDcHHklmIcrudBiayCF/8aXabltI2
qlCu0Co5VkH/WevK8mvrDl/MWNB0D40p/U6toi0Wq8RCv4jlf9x3BRYsN08nUI6ACwwPMRXPfGIO
2jZkK9rq0gnuXMIJtF3GjLI9U8s69oEmZJvvOxps2sscAuGKepIfSUh2DRRODbpcrwbsgBtwsHTE
wXoRaNeCGLtjZFt/49fkhPSr/dQ2zDX6wrJsATP0z/bTzNV0AgWbfm/H83zTLNH3OGVzoUZ77BtC
JVXHU2fG3Ok/tUTuf5yc/gV6/75kNNL+3//zF5vt+ro0UoRuOcI2xJ8yIrA56rPbVf0eltu62PEM
GnH6tRip46Yq/f6fX+0vgv/11WyLaC1TuhjE//RqyxhqJi3zfp/N3CDrSQACoeaHWit+fK7/FgF/
UwToBo2in76Uv3hH1rDYV6Ixfi4Bfv+lf9cADvZ05/djPiX4/2hHbPc32+LwTVQLbg66ZT/VAGql
HTicyS1b/moboQYgqAfAnTSEA22ZP/gPsmL/cg8pi81MIVQke5ZYkz/dQ3Kw6kEg3zzQ4k5jLy1C
9cFoxur8zk/86dL8/zwdvBYlC6EmYHwlpvdfVSpDKzSiVWVxsI1RnjHiyXPSG+7TzBW4revF9f/z
6/1lFVCWibEGUIyNveaH3fknQwxJoOw+juD1comKDn0Y/L6ERIZzN5nGgU4gtHJjcuTjaMX63yxB
ayfxl9JKWWTwroAHTD8OeqJfP2ytCXyqdAIOCxrEr9BeWgtvwuDcznKZrlCw3KdAF3/3kf+yAPGq
XK119UOmhCzt11ft2g4fIqfJQ5ODc0AG2n0dmFCRQxJD5w7F/I9f0IIHLHg57l5BVbq+oZ+uccJh
ouLY4O4jlOUn2+FUPEed6+eOoX0ygsH60Y74X7EP7x3aX64rhSqZTjrW5xUt4Ji/viBjZSqVYBr2
fTlBee4Jq9NJKuU4unFGzBjUmrE8OwguD/acyms9qOKpqBCpeJGVcg4K7da+drMOJrMZVD/QZyUn
ViJleZn1vwMHYL7i/fzp/UrJAs0tSPdZfy/Bf7pARe46IRrffq9oN5mPWq6rgLiaTNQ7TCjONq9D
OZLLEM04E9pOyUeewfmquRmNQ5Qi1pFtyjjkc6WYfLQNiGtyraxNG+jlKV8ceZ7iKI/QJ+tZ7hfN
IM+5LrgOANYXue31dj2TNLFO1BMlza4CZ3TWGltr/N4W5anS5ukqO2u6D2IXf/BCEqB6c4ismLcQ
o6fBd9JaT06NoSBmsEpY2xjXg7tPxKA9JxlpNde60RtuOXj+CBewBmthSfkUSfmNu3QVKsg4TiYY
rPBXL1MxjxDFomytvBMimQnZBly0LgTNnPOcMgLE6Tp2072bwjz3pqCuXoEbVa8LhpaDNaRd7SFF
rV4ZHw73om0RJbk13tXVpuz6iWzUZ6cR0xU9J1RbsKLVqxF101WrNfmoOs7N8RKrz8pVOuTg2Z1e
rbJDP8TWjkeO1JPp2psNn5TU4ZGpacsLwlENnvQkBcnSO6P6nPVcRxxXXLfGlI+9y5e20NJ4GutF
fbY0a7rGIU3N2hgVBjMOaw4QdGqCTUtNcv1xr5JiZPReZMRjfxeneAJgcEGIMBUfVp+Hqr1pxyFb
PA0fcnR0bSJnDim8FTTjFuMUBMmmHj1Hw+g+OXhO5bZLe3siYAIRxWYoLPMzeJPqNQorHv46d2//
H3tntty2sa3hJ0IKDTSmW5IiKVKzZdnyDUqObMzz1MDTn6+p5CSSsuWTc70rFZcrsQUSaHSv9a9/
CKAIPWBuCo9algkrgxBsYy0jVR1bEy7fyq4rdYMrCY4TlGncUt7u+lHBwinWUZUtDbaFWPivghgR
8hCnSQ3bUH/XSaLF8qOq3Z/uP+W2s7YHrBXjzPM2OAnEHebLDE5Pf4YhDGENs5mybywY7fFdb2Ov
HzcTpnT48HUs4Fi/Hi6WwvUei+0wPAqET0Ar3YTyulF+cIdzn6BT7EntGjBR9830qm/gHTgMljNL
fYK2glcXNEQilLZ5as5EXOjWEjt0YZ5PosfLHimiUcbQD/vE2MEVSyfgKWMO72pmzTlVtkMzUMZD
H15YSzA/uoE1PY+z0dDJpd2S3EyzYU1fupPkF9eTcdfhcj+tFjOrVuQMQJswM+KDndHhPnf3tZYQ
q2QmbgO7ii2qF5IXEBlPtpYbYz15RcwEfmPjRN84qyPugereLdCO4YuMeYhlzFd0Oy5Mf7TMnYmq
uY5nd9VD8ryGWd3fTXGDkriHO/KN0QmG+rHdEcgcwTw/jh4yGekDlqwG06pQAuCP5rcD4oWObZOk
ae+AutK9qs0SbeaApuUCsLvggSuC0IGzomQHktA/B0mM3rozhijZsLiDA0N5VW4COXZkQ3te+GCX
XV8Ca8vPfRwZcPGbpxJj5KsUVqDEMNBmyxaezaIjbYslNWdo2PE75j+zL6s7jjnWshWWcbJ3jZBT
etG69a6vHx3RBw/wTIC8vEhrCpxxVHcEbocP0IrEVS1F/Th3mcpXYzY9Yb8dPaSOy4aJ8P8ek7T0
CwoRXiyyQG3iAdGmJ0ClgPKBGa+CICw3HKPVveswH0zScoNkVmJEYhMOdnDyxQy+LF0tvhWtYUBr
jeXgn0N1WWzcHepOofoQLdbDlm1/X6LRweGiJBE5qMOLyaijG8wj4vPID+4JSmge8r59mguld/9E
PHRFMGzSgfvEsJ193sEp5hBUxAZhsIF7BLQXyC/B5H2iB8m8TTJO546NYevGnhqx5r2EHhhqqVNA
xva1Giw1bBdpPRQIFbA8RgyxGrEd3yAohF5l0A2Pq8LGAa70DPk9FzZ/niAdSAVOHFjhdx0vymCu
qcNqu/gVgx6G+4MERsmMC4KgBm5dAXNwIZ77K4qpap+QaHPt4XeySflKOw8JAOZ/Vtg9QvOiFql7
/HHsiWwbAD0eaxME7VlCvB2bhcyj9opA+/l8tlMfKujMsVBUeHlolf+zmafBBaZybG+Zi8veqhlY
KV1k+ptIaQMSljKcCHz1xRUDZ/ZSwh/Y09OAnzNafBq3j4MLRIo2YdJEcEBXwslqWXn+zOCRYJSI
CIySJahs7IpcHJYx97My9vt2bPdzPLIPjk7UdTsiGP2LoCZpLPUrrpxymEDf8Xx1U9tc3nUmgAUP
1tW+armwjdvs00LmOFw4vU0S/ha2Z54R6aU/mXl8008lgOBQTxJpyWDuvNxBcdf2RvdcwpKtV8Ju
WRHW0jhPXs75SPIo+3SBQXy7QS0LsTXvHY+KYaav2b18LFHCxNk1cUolERoGx5fXsts3edvukTAo
AvOofcnSwVl0wYTogPOHSzzkgGhcXQoX5sjabIPqcbIarCssZ+RTJ0XNd520QeymJD3cu5NNnSN7
rN1e4sGax5EOgp+YH3jeOlLSxSGsSxu84p35U2hUziNDNDbWGdn5xVS3SEOyfEg7jgwR3U8e5Gv2
zdy9kIvtd+yLnviUVwZeLUNs/OyJZN3FwwQOy2emykkML3iw1MSywEmCk7wJenFvtw3HU0Sme7Zt
PZktfJJE39EGW3jIkGjy1gM8Ug7Mlq2KVCGeKI4bPKahYMXlHY/REA1dAwQdxtwbp8NB/yz3MTd5
EMaMNQb3idLyk2snxvBpdHEUr9fJFEexf4eaksnGJquDBUmcHzVzsp2zxIjE59SnWiZMceqdlSco
N3JwtrPEBIZdh2QEbACPcQRy0ekWpNsTqocJySGTbYy4D6MNBr7zGf82GwXb4pCnS33J42/uoBKj
nh1j46syguRg9GBGYxdz9MxIaSMLPeesPICbAdcKSNPupkQ4tTK94CjnLsR71r6NfLZ0mwCQrTCZ
CrWLQBCuVHNejX3ErDLHa16yxRC11sMkJF8eThAVCdPa7KeRSAf1exXug6UqMIJqRhCjqpvW7Ao/
oQj9NPL5OlByOmddUxgMGNcCmZjXDj5tm9Es1m43F3s1YCBMbRx+UkBp25RDdJM2iGaUlNfS7OWl
sobylqfNuYyRzYGTr9jJIjOYP0Hh9gsXEmR+OWQMW2xu1bU519HnGijusa0s+6oa4UWv7cikgFTN
Lkfyv3HHG7sQd1R+5ZnFjOin44bOwYbGTYxNYQWpCZbtTYxb9ka6/GBKzAORA6/w1nHAljekNOQV
hbYx6lAuIl/xyRv1DhJr6x3OK3bDPq3QIlrGuWvPTX2JrJFFWsTsNonbsiIXJOIAfYrEypsZ0jPD
HsruXwBVukt61ZVoLoBH0LdnQaux3rb9cFzSgBOvRmV5KvpHZaIG1YXvxy34u+4HeiyOYmAZtP2S
xu11twaTAEld1df7vNTWZwPeFfcNTMx8JZWojmjGaV1O2+HH133X+nNdhqsOfh3EV9Apvr4uLXlu
g6rWe5Xm7lNvFO2eLKxcbScvZv+qinK+c11EjsSO6Sr346uD27y9uxi20xXzgvMh3jpxzF0KeiLc
aj/BwCazx2+te1/vuhDj2e37qOZXs0YZb+vKm/Esm/vpI/wXsfsVYofkm0X2n3lsl8nviGCeyleI
3ctf+lPtZf0msfPzAgHI4MFTA0T5U+0F9mb6qFolpztV6t8RO/833PVNbeNiuyAh+qH/ObUXvzFx
+N9Jv4YA/wVi9xYBIVpG2NjPgC2hKXv/ThH8ofom7yBVMXBhwxixMlf71hmTHcSd0sU1LZ6L6iLN
hDF9ThRIiKrnmPChLgBE8BLS8MSG3sum+3HwKJ/bVSlzpIqRpdNNqX51YVV2bbf7252+edlfPoDH
AWv4wD631gS/wUPnzW7gd2jVQ0hLR7ZdQIcYt1BnoqBDAmsy9NP958cXxAXy9avIJXGIBHwBXkVs
xz17vREYSQ5jaqgifKKDC7JcjHSdj9ADd6mU0HYQZRvNnp6jfgyoQxscLOToyT0H9xhunSgW1Tkx
2mxdy+hxV0o3hBllabjEL9lAtRmUQoADApBb8Hd2Mix5zTvBJoPfEMWGyEKqkqYl+3eNqTalSDTh
OHE0XDoWLF6ZIgsAg76sdZna+FwqiMMxwrcjpAZ52UEm1+h8DsYTTRly3rANCUAgYJXSrRU2i2Cy
cQFscQXEQMOgnF76WlBHE5/A4C7BNJ343yk6OwE9JlV2u2niyLoXwqAUSk7bUtemzSMnJVCBO/Ex
lJX4CuG0xiLGierJxYwrvlZxwZ52apxmrfj+3DYOxo1wjyxxb6F+6o5WBQH0asmIf8SQYnbrrxZu
7fGhbzvWX0Qi09qAFDfeLW1p3Rs2ivAvNQ4uIIZWr8vLTnGv575S1Xlb+7rkJiJiWYeuwaXzWneL
NRxxusMUeHOtTvAfXV0a34SjoEau2pJUXTnZfP80Kx0s8RApDNBdHv7ALyaMAzZN4t7G7sCPNruG
m0TOLE/BlX3ffY0nopr3cjGL4oz7yFHhJDqGJiEkFztOp2+WTzM1zrIeLbxDjxEhwvFh0Y/E011l
0CQIGSZ6gWPQGGAzSd4bEDrp7C9j8nVvDd/EaCNVvLwgg8LfNKi1iTAi8S1f5YGGrFvXw/evGq2c
Cb0XbXKnwarDmtR87/YWSjkSBb11kYYUOVgGYNub9s4lTnvugzF64moaa8SEdkb0BFYQe/J9pb9O
rNJ7KiOUJDV+KgoND0uWrlLdjGSo+es4xalzXeQhsY0oGCmPHTLSHgy36fpbizxyd+OMHssG1Ru3
d0oKt702obDZaAojfCfXxYDVAWouzrXFJlZCGkRIFopnB39RTj8Z7w6cfaT/4tiqJtCjwhT3+MKB
CSIycJ46q6SIj9Hr38+WfvJ5RuIpE/2JZ5tNC0jn4lXEb4wWLxdhS7yUWV1N4ZYZQ919PUF4Plt8
ixbc4wYnVm25u4wy++iATOKKryBmRmNaZds0xAYYk9lmj8PJrC5sXAXxuKkgiJwRtYZ5v+BtC85e
QDAvsOkHiFCsjkQRWe19tiyG8WAMOBpe4M1gtGh9Aj5JPttsv0sxzcFnfAqK7C4c03avCqNtGJCD
NiykUSE+nDU+z5CAe6nMiWIwCCJuRG1StIS5T9FCtc3bUzfQzNanhZwpgwdXaZCYolW/FH3LKHCl
Jg2nlLKy7pPBEERAQX5yv6rcH6zrFEFKQ+8pCC85TWBiKCZkNOpMMgKYo1TtvTBq02+AF1OEgmGI
+mc79PvsS8sOIWKQ2MVpkZiVpeuvVGSEwZmXRyDJMHP4SSbL6dA1xAATo9ky3EGlpb74mCxkPxyv
tCxc/WdKejwfUblfA97y4q6sIY3c87C0iF1bVRUF1Xls4c6PHMZbyABLIvNbopaO1LTIvyptM/jq
jEO4rhbxyRsjpQ01q+HzXM0G1OsuJhup1n0kRmj4l4UbOwxhvRbgJPTPYnY2sVc4e7z93emikvhz
Jl8iAJxuK2vHRZBT1TPEmhwvgZrh0QNqTGsNae2bUY60M6RRY+FBGEYST2jWRGZF3/Mu9H6oyA5X
UJjL6562dZjaZoaQ3Kpbt/Kib449lmeQjeSmKhHO+nB3vgmK361VmlG49hYwLLP32htg5GztIdOG
joSNx2VSR/lnK+08vIq6nrC3Xq1wglRr4jWJSSym+hqAuLhw5IhNzOTlt2zr9Te8feJPo8xvJs9U
6a5Fm7ltoFBgwFmVO8xzk09R5+YQpGUXbVuYsRcBBxj5ps1CyGOA/bUtUR02E1BA7qEpT0a7uufQ
qb+WTlHHm3Tpyq0PkeALMwp9a4sE7zLXIZXD9cidAxSG7pGMND+h1/1MWmLU8kFKHJTTaDvllnUF
jOKhgTadcl6pmXJgo/P3jk1XVDs/b/APSnObrJsYknHkiNs0rOqdVsNt0HHXX9OsrSdOqdEFww/F
CInHG66aXoafgjp2dwYJK1uHHEWMWg0mH/PsulcGyXxHNux5b5blfI4rRnCOrepE6HfbokOWdARY
Te3jsnPvx2Rcnk0wpyOszOXYlm2Q/6IRe9MgUZ/gNM8/gs0ogC7zdkxYFbafagNo1aNEy0qsMs3J
5hCSRktQnDlWx5C3fP9xXfSm/Ttd1cEsH3dunAMYo72uimS4YO06gRw0+JE+JjJhY8Cckxrj4+u8
mS6frkOLyaCOag+hwJvqa4wrd+gCTDskaCF7qknLU5VYsTsqZMP49xej5yOFjwKZCfObWwkxpjMw
xw0OeIJjY1PF8pwQznxt4Fv4i8myLlT/1j7zvRB9+nr8SGtLPf+mkG2iwKsNXFoPtssQu6TH3zlT
QLwyodPHziPt8eOv9g/XE/QhgmWChMZ5y/QQ6NfgrBfO4QRxvxxBZcxcYe2UnYbhk5nb+/E137TQ
+jtCMGBYb6FStd8V6xhEyj5oe3lomaKMoCo6QJENlRO4VDoJj6Ew55FRjPzeNFKOj48/wPtF6usZ
OrwW5tgWU+bXi7QqZWPiygZ0OCTtfpoMG6u5qTr+P64Cxha4TLKhCrxZNXloTRATO/dAtC8ALx6h
uxMW/O+vQkMJy0P7qiOIeP1dXOhxjWPwXQLMhDYuHjZri1ycf79MkMpgVYtwieHI22WSITxPiAR0
DhYeZjsUgiyKcZ6YosxhD+uhVuPyi5bu/f7Fns4exteSNr9788XIkw7nKXflwahC96sgZPmwmCOl
yJDj8lH6M7iS2y0skY9v6PudBYQFw0GwJRjs794IhnCJudSOdcgG3u6wYp/sNUy2pGC4H1/qH74i
iwMFGjW4R8v/ZrP08olkhrqwDqrF8W8uwK0WPYQinowdW3dwyNX/ZTSEfvsgcMDLlxrEct4y2EYz
Ke04cMUhd5t2XxbwVXLTj3fwHH75pp/wqNfbGdwNz5FSYh2jSUevV2cV+/h3sZ8c0MHCNU5F4SBN
8cz8rh6X9gqFEfFQ4UyZDMROV0Gt1V2NzYhTuTQ6SXNRMSCJrO5ZxB2DFdJwGWf4mVvnv1hu7zfC
wAT6sAJ2JHIzrDcHSpk4UzIbgLJWYXOhJEzqR52m2q3GVLLUoJz/6qwU7/chkix4qzieUSj63pvN
PsrBS0LOuIPhG9S6yrfpH3ql+me/FRyZei7Lek+ZnzZD3jyOoyZe2CSM3DWdxQyoiQbm5lRJhG7M
gpHJx+vzn+4JOyVrheiG9yIO+OcYM/q89Sc2SGo66TcRGfahg52JF1Bj/grGeffuaXIRbwNQDksU
Xsvr5dIknS765+VAdKl8gvoPj2BuSpap0mOhj7/dP11MI8cmAA1bzdu16S+I/aMmmA8qUuomLbPg
wux8uhykzHRJH1/s3aPmm4EcS2Ha+sRz3rzqTA9E3YXmfAD3p7EkHYyVxYtIl/jxhSxYhK8rCMQ9
2hgaF04Mo8HFXt/D3I4ThVnFRAXRAvSb9HAkhpE4lH1mPLZ0xxqr2PZMRtK/iHEaVXQkns0cNtfH
YNWouzjJwAmMiWZp3YkFdozHSA8+OVAWqJe9NXONfkyERC6EQ0bzTY89DsO5j7/J++fjCMo7ANPA
gW/xthRKyhklW9F1B2uBYTtB9T8WU5zs/j3XDEGUow2zJVQqIL13fL4+Mq1+VHjztyQqnftWyvfH
ADU4Q5xaHWWpfokf6tPrbxuj5FjzfFTE/ArN7d1TKpfCFg2M9IPbKPnDda3x0MoweDgBIjoEQWya
JXc+V0pZv9jprLdLRHJlFwYz8lXTYlLj2K+XiMzDPpFTkh6EAElaNmbqu1m3m91lsDGfx03wuyuy
TG7GqhMd4lOGyiVzu2Rv9TOBIpaFLtU8TTKXTOM1TevpxmJo+f3ClAySIJLW3cDPv/H6GZHLWE2J
s8fsO9M6f9+ubh04Lg+tXl65wWGwm/sW5f7YzjXcfheiljMpoLEuzMD9MoCjcJU0RNhs/AhfrEvH
1BNnk/ng7QTagJC4N3ZKJu5NNQsDDSsuVitQ7BLlI4ZA5gWwtFnCbXGGAJ+YFlvUTOLnqn0vpk01
a/1nuSRIXhKxlmPuYMYxiJh8UPJD8BgA+zYxqXqyF7ygeGcw716Y8YpcPE+tnwGKGynvS6BqDYbO
URbfjDgLRMzhm6U6hwYG6B20zK32LzyzsoFmfbY05HGdik9y00FeglzXNU3NuxaXDJJ/gpYnJOaK
qKVxn1vkRPA7DHWHe0oRM1Ss8uoCN82xv+3sDliXOD89hhJFnd1VaKIYsw69aJi4wqXKTMu/IGCh
yu68WnTPqjP5FpOdOssP2y0Hedk2OH+tPfzew5UyE/4iXx1C28TH/VSLAN+WzErlxcjdHEE08Afe
JmSUq61bz1weHATkqoei5+78YoYGO9ohP3Fw41B8XybtvKDSwfik4HssUAn1oD8wSwmEE+fo36/L
CW+jO8EgusMmNAN4pV8l7VrM3sTskzHw+Ti2WERuhl4H+NYYA21ciy0cFS8rCKKUpjJ4U+JdyBE1
ynmsDOaevRJjcvVC3PProVt2KqeHxVc2AGWMBlO19y+UBj9xWGAlYlqLTHnYrS91AJg9q2+JXKCG
GFvt+IA8056PIUAI9nTLXKmfQb+ENyfu3gsE5+TYj6/sWIl7ic/5UxLGcXjWDR3Us5fXCvsyuFL6
nZk8eClP5YlzMTmzuBdKQFAC7cVCxIKPR6aM67CKGt+lM4tzh/tqdRozt9Nu+D4nBHVuVcIE4WU0
I3z5FDq2LiRQIoHHVZ58KkSqkdgWeB5PFtofJUwQ+NPxhxMZIGMMduVdYPsxLMQIJSrdVn5mdsci
iHhNi9pg0pBjSDmdy3CU9jYNrCi57cqGDyJQW7VbjKi6u3IRjfo2KM82RoAeJ8vufEJfh0tH5eLe
xdlAroc2TOYf8MNZsilGa/J2FgzSN/FMbWzz/k1ewXnMGCCu8PsABocGxjQHdyzZ294XCnM8EXBE
6asa+U0y1kaKF8lSgM0buZMe8rYDrZ9zaOGobcrFB5JA1IjH7il3FoS81ySvBT3b9HLi/3dO+os5
KQeLpk7/5znpl6T7HSwyeTUo/eNv/TkodX/D1tdy6Jsdzek3qUz/HJRavzH4h4NKVwjExRD1L3mz
Rxi6rSXH/B8L9IuP8eeglMkrggaT4SpVJSZy8t8MSl/XxfRPgYOwAcq1zU8THKWvz0/i3OJsILXq
eHqFT4R4R1ClLvPMq3SaRf3tBv1yvPlyQcAuTDg5sn331Ej8jerNecmUoS6cIzMzfyNG6v0lYDzo
QrTZRzDXrz6+3uvS64/roQAiIh51g/+2DsdYc+kC4L0jubXuE60PnLc0FfedHgV/fKnXhdDpUjxq
njUAhukxxX19L1tK0GjIhDxmBdznxGOQ4fQLcwPXigAWFtQMXpYycfw1heQfvuWLoQxGa6Ckb8kU
1K8kNuEFeOw40c5xNWQDI5wB5jxRzb/qNsTruvz0RVmBmMPgDOpjX/Pmi6oqJz1FJfI4VS4X8mpN
R51Sk1Zj7D0wy9JO6/hQKMWGPbfx2H2FNM6Op3DhWJvY2P8CfXj/9Zl4aGEOEn2XyvcNwIJdBYZj
JDofXxjjxOYlO4oqfvn/XYvK2rGpEDQu/KaxiwhEyeN5ljjcQKId6O2fvb6ADK/J9x8vKH0f/6qs
9X0m35UcV3wM8Acx33ZaCWi3QVyXPI5h/LOzIMoPVmH8op37p3vHJkScKxdjl3rzMDEvkF5v5fK4
ZB1TedTG8PDwIF2LJeNg/fgbCX133n4lFEWCql1yC99ifLhSinFh6HZMLT35xYelOpITRWXB+YZY
AUHGk9R48QkaQCVjn0djaJ//4mO8X8EuEAleDvpVRf30ZsGElrDC0M3kUeG0c7CzkjybJgxIpDQ6
VmgTMM/OGFy6GGcOWjKgX14HE+7d/wE8+acnIKVNwamfNOj8630jy9F/FFnNy6tFD6ZpTqtTiyhR
Xp99/MX/6VJ0S4jtaNZsRu6vLwWa2lYtsvdjwlD87mWGauTkP699lyfx8cVeny1s39BKQIW0NIXL
vVu+ddxXOZRo4xDSsCwrcKH6scTj8HGZ4P+OJBb+apSi3bj+trz0JUk59aDQYcnBA37baNcZJG4X
J5GDqcFd6Zd0vxBC1B1kDSboHfU7ZI0FNoqfMv7V2pNCMY7wDF16+4nb7BcN0px2EIQBNHDzwjh/
FSLBgJ0gCNT8+CY5pyP2r1cCXNhlFuFp0BtAxX1HMyx9lUpV2BIsysTwVJuFVto2NBJdNtCqFTN2
onmetpiLVmk9u7j7Ou5tC0EQm0fmYnjWFSF7b+gwi17gvj4rK2PpEtWr2wfoSvHGbFMxMi2eKJ4x
0JdPTexDrdG4KdBU/3xCCzx4BO2GsDcqeAueS08Y0dGPpH1oU24g4oN0vomSHICPsQaxjksMVQhx
UyP2onP40egtiPgrAlRk67xNQqabQ0L0eF42XEMPfjBNnm9wtTJNWlqEOSsyfMRVF1eskBdFAv7z
y85A++ceTsSQro8KqNutoE05ifUyDG0fvZrYrkMhkvlOwIq5Maye4nyBNJh8E3PAI2PE7hJjMPlT
+HAa4WF66z5lCU55JDjRwcwi6J47UesTGjzyqZgz6/d6Ca392HjNHW14wcTKazBzRqq9Yv/Fx2wK
HA5UMQuyConLOkrl++R8ZsYal0buaIgCapYWNDPb7p6hTPsbo4L0Q0og9wfOg3fXddHyYI0IOepA
a5AKF2mSUG33nBWRpfNj0QYuHQ6Qa19LkYZ65k8Z4Qxf5kQ7K1JaqhN5SZJX0rycqCUn9bZmXk1v
XcRtuo+QF8GnxY8UHUPsypmEjXnxUJJTmBip94fayUwtuulqdtUZXjSat1LmgLRJw6ohSwgukptx
N0nAqgkFqfy5XBPVCYG+1vslDJoGAZYcgXAtZfFhSM7NirMTId+tYt6/yoxgDZ1w19goNAvfKejb
wsqn9fNm5PcrsjBpHUVps5YxmwweOjPkx/pahUbcD2IBoTlfPT5Qajufet2+ZJq6xl59uVw8onfW
IqG5Hyto/248BBY5XnoQTfPZforsxdovYBTexqLn/VaOY3nvL8l8mTf4dDaIUMWKLkv4BDLgiJvk
mMJGOeZoqy6HRjCVSzVszC507/N8SaYVenogGQ9PsyuGg+axkHEFPzkLgnXidARNEfK2JhF7vs/I
5T4bqriuD5k5J1RGZGSge+rK277uUDKk4VD8qGj7fvoScIXp23CFuREMgVmlIVS7jJ1pDZkHh2fY
sNwETS8g5LbtYBLN7u+KuMkNzPzyouoQcm0ZfHnTKhjqZIOBGDyGaqiuAsK7pnW5dPG3yDbg00M3
hhkHAaCBFnAUc+81Ox+6xyNaDh3mXS/fXILkDtjakyimJrl8K/MmIyHCWkBSRx6jHzrjGuPu8ltK
Zlu/KUcNc5itt9PFKMYaCmR/07aFcdZQA65GipctLhe93piggZC0ejdknXFeZk19noLwbmdnmH+E
RCqfxUZi3M4gsV+TbJRrbCv6VV3CUUnRYK3wf3vC5I/3A6bVJrSKeD2MrdgWEFLS1jeudAQv278d
Eg6btTZu45rsXPXrTAeBOSs4YxCq9ZOvpwsqXX+PYB3aC6M68ntPZBgMrsON1AwZX3NlMNbHAlXz
ZyzNpKkzt0FmV3bbgRS3NXOh33MPn9ggR0SaBEJtOyO0N0PO5wjCvrjlVIKoA4oVX7iymTBSN3mi
XmSlFxDHyhuzH+obRJQsagN0t386TSMNMmkRW2qq1lkF+SA9uidSgGVDb9Xqtv45arWQtVo0DQyM
jBzbfkQOBL0kOvMH5Zhn5JWqckWCgYmIyQvBqizHqB5DIdUNearG+qS/6Qkk84kQcxDQ5ZYkxPAk
DDWFqrtdlvRsQSfJzkn8aCj6KASHlHAucYL3Yy159YcYfphUkim3g/fVY42Iko+GIRB2U3mZP1pV
E1HPoUqBC4OXrQ4E7+riG+k5fv1zrkeJ8NPDBDX3+u6sTOX0A9FNE62dzHC+YJCEyXUcdHtSjElO
KlWUkCMn0vh7N/ZPaY0LiyOTKFqHM9vH1xxjeuNTstSVvfex37gaW4QCbo5rYDxNzT413GU7+2X9
eQmiAvKQJ6fPIwYrd25U/7Ty5atCs3yd9Va/Z1/V4+igHc7kUFvPDMKj5yVJpk/R4PHkeOPTs4ax
Y0ASuTfB+2P0gH1j3nkH10m6aqOmHBfHDpHevM4GsmH2faDMo2yq+RLSoH3nLioxVm2RDaQa8hTI
PwZPeIBSRRKDEn1+qdpWXi/Jkl9jmTfcFYnfrNtKEC42GvkZ8UT29ypwR4a8NWE1TmgRlYAuGseC
GCPcCQtgTLobjFe6IHQ2aeHLwzyN38PamD5NfZThjTyYly0BV9+yyc2idYtymbOyxMu7me3oKpBz
ctlCYjwYwRSgsh6j7slKpvqILzCT7MQZjkgpDHgPfYeZu2DL2xoUs3j1C8sC9oahSbJTXtr3blbX
+7HETbJO4vDCnIflto/NahWM0fQ45H1DklfXyeQAtKUcvNEZ26z8cPKzKxcOYI1Rz9Dt6XKNixQt
1Gd8bq0A09ChKFfkH5nZfmDxXE2c8D/F2HSXQ01uheIgPJZpRyZEDYeYTD5BewFA3ewyie33uqay
MNbR6I23EZRehLAnq5uOLe8xU72NaWXuXBBzwTZqmziZrJt6LKeNVbQQ7nIsmi97b16c1Rw0wj/z
c0+yIYrpR2W5Q7gNwNC3UR3Jcykbsntzd9l3g5fcgX42nwcxdw8+kOQZtL9svUB8XWUQtlfSjGMd
M5d6OJFNWJ8J6EnPhDxzDvUm9lOhMSb5RnKrbsaFPgWnRa9dO1WYXFumpz6b7WRcOklP6kdiN/bW
N+zWw4m+dHCh9JxpXYEed7uBtfszzGPNNbb732FWe8+TixPM1qyhKa2x7XGgnFW5165CZh8/Fx2K
tWkhhWIk09c/nVhFN6D3OJ8uSdcf7EkBeFYVjqOxwr1sJZnAoYssiWPIp/TMMt2w3wQRNXsEsRTy
XVx5MbxK2eOgPCBHNrAm/Rq7M4JfL1rSa9MDpl6F5Btel0Ge9yvykYzb2LB5ai+O+sWLv75CMozb
/qle/y8W+gsslAGfTTf5n7HQqx/j0/PTK8XIy1/5AwgVAmtjdEY2YT+wEhjo/i8QKixa3r8CgQj7
tSHLWNIBZxHohv5APm38XiB60BqAiVr0sO6/QT6FpWeDf2u8TI5cfRkYMozqrXdT2biXaizb2r70
ws57mCdJPoctDEi1C+ZZc1w0SAfr6oBNciPYJ5qRTMKoO2NIl+Nm3zWIbM3B+gqzP7uqvBzb9kaN
tsQUrsGrdGjl/IAsbvzaZzQwfTSTWlFDEMEizSfutu5TjOfdGDX8MM3ibrC76rEcw/F6Ybam1r5R
TgM+7y3muk3YTtukkNnea1NGUG02Ypxaz/3OZUxXreo4Vdk6iph3bIyZglnOM2GSsfKnaA+OtQwb
SNrm93TIu3mVz1n2TOhRQ3yXMxarCd75Ndk2KOJhHvPdi5peSLPuM++8mlu5bBcxqHqHzS3/19Z0
3wMsJho5Tvz5HD67k24KGlVc5PmAdEXhQuBM1RC8cGv5dXUbIBq+w+dxvG5yih9SVPsNE3ufs7qr
xl06td6+QF7YrFNZLdGeaYa6aX2q340hW3ifxIhZn7HY672l3kyhSerBPhQOyuoitCLb2/mY20Zb
r4XyZG6wYmhLE6ceX11h2FuUYt1jnHsuO1ER6ldHTeyuU+giZUlWqp+DgXzp6lx29h0pi/j+2q4A
BiMBalRXWTNKrCqRcbcBRp9RW6C1rf1oNaBAcilOjDgNr0OyUrYEhpCdssax1sYHshkoZsitM0bU
1g0uRtXeBDQMj1ZLUsUGi8tRLxxv2S+KueXWIIQZ5jT9YD4e+n4YavNKzEXa2+2q7bpxwhw4myxO
tK9RGFvW8oil8Fy2z/3U9EVBzPqy5OHtfze8/0skmsas2Hv+84Z3WZX9U/l6x3v5O3/ueNrMHYYM
JDxNuYX68deOJ9zfTIn1JzI4oZ2XAOL+3AADdjlwMxPekPa70hDpn6Mf+RtjGvR20ISBeOAl/5sN
UNqvUVAdycYeyErG2AoDXYDm12hgvVQZMOgcX3t1HYh1bhTMHOHKYBXeuNm891D0lFuEHliYaFXK
ZWTlxjon8eUZw8SlwleisDDmNLU3R7w0FF5V57m/LxRiZ0WZEAwr8Zm+qJqszb8ki2zoURfzOUXR
if/FkOH+bAJVkidsjKO9S0C7P3t0+dY5JuTjeFB20k6XLRYlZzGDeQIyrJyMUFx3L/UAfy2GsF85
s3FhojBPVsigwAHScrE2zdx+o+FEdWHF+blEukv0SOqLH7CnBmozxETbwOclwq2xdOI1IZbJ5f+w
d17LkVtpl32VeQEocOBxOUD6TJqkLdYNguXgvTkHePp/gWpTKs1If993X3RIITKRCSKBz+y9Nnlu
8jgWo3vQunFNHysz8H5ppa5Tq+2NbDSI7fVfZaVMyNbFgAEI8Ajval6yV4XvHUeF2WxG/DEJcedQ
Xkh7FQIqrKDGGesiU7TFZkfgkSD9gQhIht5rMnu+iIC/PGeZWA1xnxqpTUbW0t/34EWds2Qd8ZUz
Mp/BcmZR97RQ4B9xs/Qae60uVvl2jb/GNeRwk+68BmAowxhSKjKrSK2CJEXmVXq1cxavnEQorYTB
+iFLKc1aFcLinUb3vIyKkckSih5Wk9pKFoMZbbsfd9gHjgJCvT+dUY1nqQMfX6BE+9BvMF/agNW2
3ibTEMy2sMYVra+pb37lNtkPPxP9jznSDWneGlVvlxhSiKHeOUO6Cm2QeLifKNdGEk5Kf7rIOIcJ
Uo10vW6XE1c6Qzw4ppZfmduuoEMRNbllKVk1UZLLux5mb6ADTuKyVHm9mZn/YZsT4uRB5t/Gsc6j
K03zfV4ndyJt1MPgjFa6ibTC2KR+l1Rh0Q6Ec3iDS3i8ydkOjcyLMD7ooFsLcyb2QOndDp5p/14b
TfHVGFph7vy8dxgjtEsCWSfyCiz/WUev0Pvi1JsDQwQzLk4ZuTfiYFXj5wQ05BAutWXfA4ZP7TWs
Nv4cd5Z+JmiEuQgN5J7aodq4HO6mcMxmLxahrhUhn/tEEjp9Z4nIpX/z1qrA0POzIWIGCdLopw0y
0uo4Sd2+TYcoMwImf9YFLdFyqqJFh0ijz5t8TN55j9nO00uxY1926yT9iPbEci6oyzHzqTz6TKfo
7zDsTfsGyMM2b/PqNAq3eUbjdGtXrn1dr2yedvATGcRXBLWLG9oSEqtSBoSe2YA2SBuj4ww0+o9a
gJmvGQ1/ipsUd0hrYSia8uLQr5GIZPnF+yyb8j3qcvz8bdN/MyT6rcbp/MfYosVimWFcYLi8LIZ+
x16RaawWOZd8mexLk7baIct6+Wq3tSSHNFeSzsw03kp7bSVGrIcg7Qqd5toACSqwFf3QXA+FMgyo
ZJcTzXwcyRtFBgCeOI2QnWvj3PpBPjnWY7P2LqHB+OKr5c3xk51ZsU6Ea0eqVlnTYvl9z2s02hED
Gv4nTLTrI784St2pTzkREiTWZcTrTKihzCr2DgpWAigowLHB6KBGgQYD/tUdB7IT6WafhgQIDMPH
/AncwpXLun7wjPniywQTcB75B81NGi/wzNY9eWC5CcUA+/tNkahx7xdeeqD+qL6BxvU3hc4wP2hQ
hxC5Wlt6MOviGDnZAxG2HnXupJjuzvaj0GqiKgTcswPZzVEoh+UZRhTeZ2XHLuxkYKTk7XBnH3Xz
M3BtWF/JqDHOENSa2DvsNxsuCmqpZnmoFUhbGjz5mic9odjgBW6MguDmYHLVV5C603YyzAG0r4Rr
Y7fLlq1wj9bNMD8ZCAnvFpH6d5Pylvu5susdxNbh3ui65kzymP4IyIqmuG+7vN3VVKvbnpnWOwoo
UrjVWJM7pTHim2Vi4s8ctcASQ/yDaC79UE2V+4ZvlmnhwqW1XbjlhAklIROFGM5PVXPn9yTpRK43
OTdGy0CZb6S5s2ISMpDWNqyW7eRU+11z34o1dZNpGmfWT+bv6dwNj/YUt1lI7AJxm/pM4h4e3zKM
FI5MQQYihMN5HkO0YYSRpeZWqNoPkEDUN4rpacgqobtgMZXXwtW245z7NzAXiCtzZ4YjR9PR8ptE
F+1GkNf0uegn44m4hObGbbz5UZeix/DmJP6D5avhMHmDOoLzSq2gjiwZMorS7zrg2K+lX7evwLe7
+2osopcmj9LzqHC8JdJbngUNCykKNVFb3TRvI9AvTLor5p5EeOh1qAZDH44MFiaAMe74zPqP9jy1
emr01MbSZkP8bfVEv2eiEJtb14vqE1hXi1zjXM5nxuVlDuJKGHiFLZPzOMhPliKPw56YRM+qnAgb
JfroJFLhfDV4fcBgUZXeM22T5Hjp/iuDlf6gWwsPeq8iFSno4z7dOWnuQIRumqfInYCZaQiTSYyI
iCTbeFJdxrbudn1jMVX/b3H8vyqOV7nvXxXHK/P18F42Pdkw338ZCqy/+Y8S2dV/c4CcCsTd6Gb+
VR67xm9swunxdW+16HyIpv5ZHtu/IXPHikQVLKxVQ/Dv8thYERL8uIk4hYpWN/+j8viP0wFiH1jL
UrzjYuNdsNH5Y3FsASeMW4/eDGc88bsLd27DiV9+Oin3vw8bfoY9/HEfjxNoPQhybexOfM4/2WaG
etIaDBXLYcxRjSq3J8PQndwQpuKw/etD0bv8PO34OBSaK4x4FuKkP5ll6pJ7ESTF5aCmFGcuU/Cz
YWDHFev9H3Y5iWKiQ3e8wGvyvbn+m8P/UcvCJyU+kf9Hm4TIBLn2r0KzYvFs6RhM3Sv5ZJTuq5f2
m7/+hL/oDX4/hE2zxSId+OmvvB4W4vOoR6Jl+SCfGFK/UIzV4UijR1ndfv/rg7E1+/WE4jtCgEeL
xhyeXm7trn5Sspkx8Y+KEuBggSU8xXkpmpB4gvKU21F5Kibr2YpkW7IPaAedZyF8NvYBPqbtMu8Y
CPXMZmFWxQIRd0YtPUqXYN6pnnzInUUBHrSn2meW3Ypmfej6AWERBuk4pQkNXe7jqR9+VIRB0/gM
uvEyQy4Jtdkfy02uVeZt0o48lpOcLZQ+q5eZxgF6UiwJ8THcjps6KhfgfUX8CpuMsXvZmVd2b/ad
zVD5wWGhEUxWBwMxHuLbcaoEFEhWYrU3tgG95Qq5XJZj7sU3Y6ZNO7Msf1hu8VCn1lf6jOvQQRyV
lleeGl2R7gygy1/z37k3l0FJcAHQr4Whe2uTXlEJsGGZ/E7x2R7dLLlD5qBRoFPsW0Y5bmUtnVul
zDz0NSc6MfB5cTWiALIkZf7eE9uaThO6b81/Uug1N7PIstvFb+OnwbGKEIB6SIpfjO0d1peS0XRY
0iKCEa+SG5oSNlfYMyPwdmc71gHhUwkQ/hvLOfaPg5eNapeypXtqXdxzCZPJ0PDQZDfANHQIM0RC
7yqWM86zBR/wNcmn7o6oM17Hw/PwVIucxqlLxwMjViz6XYcEH6tjco7KlmwqUI9bo2rzXSl9LpGy
ze7bGrZbJiuxBT9n7Bjt6y9WncMNnmjYtCQ1xreRYFtY+/osLvAb4idYkwsrGFbZkVNiGQfyifoh
Xb3bGgCwKEq6a7Pw7AfkdgGbab61izc8WaOZH9ZwrxuhTOdQVlwLLYSO3ThUak9YwltCxUvXnY7x
LnNNdbD61L/qTpztNbPpbpZYq+/HYt4YZEXewGpqAME2hb7rJBoSctbINE0dwlyFstN951vjOY2Y
c7HAcO5hJuyiyMRxEw2uCHwRf87GPDnya69qik9WGa1DWHlt5vyZVpJnOwIBGGYVay7SUUAMABCb
xlheAV+IvWGm+kHgejrM5UDMcNOT6MamGWF6bNd35cxzgyua2QuCili/mlE7v/dara/0jOoyxZkG
TdQx9sR2JxunYL3EogyZOBmb7qbVW45G7BprZV/TTJYm2Psi2KInpXnRm5cPVRh5sb+Po0ieFdV/
CCOD2sXXkn2PboLvfqkFhkWIHSGpKiztnDrQKeRpMRJxUWhYd1Hm+C91XWeUTSnANTd5NyPz1RcL
iQDDoD+kxIgejMn87PJ31bwifiRxhHRTlzNtpssJvCBw1CgnRdfShg3hkkSReLApnCW70fq2uVJl
FRt8EN/ARfRegEt6ZrUWT8dIi+mTNP2q5nE3qDpmSwpAtPYbSVQ0LxtHTvuM5N4tuT1JbdO0JCGM
Rm2+syHLoSo1zha4Z9vE5pNtN35YiRzAd+VO/f2oNeY7923vmJbS3OsiKWAUr9FdYB4Rx1vNchsV
7FsDM2rm51p4xYUb0nIEPM3Q2LCh0kksNYBykfVEZGo3kUG5nVyoafcJDwA4xvTtQRxjsSlKUd32
pXcsJuM5LxM9MCJRhbHXkd/n0QgweNkg3PFu4ij/HkESDZe237qjYb2PutUwLDenOxbbpR/YcAo3
3BKcu3TO1AXPaXF0SqM7mB5BbLVc5Kcargg9cMeRdT+b57Bw+AIFWqXWIYhWvApchtSni3XFeONs
4G4Iot/KjBWkXZiALJNh6+D44HviqG9M07W7vF0jD/sqzDs3e7ETuzogbaqh4XYFuXGs2hmXc/dA
O81GYnGtSwEmuQVQvEx3Ze9pB0FlE7at+9UVZjwERC6hd4ns7OhlnvtU9ErssWmg1zGsOXSnGV9U
bhE84vjJYUxRu9VABpEx2/adk4ocEnEcf/bWOLd03pPGzemfwBsJ7lwbA877jpNUPJkAVEJbFw3e
O5LGH63W2Tr4nl6HObc+q8lJbp3OWV77ytxAX5JpkDVddzuKZtjlZcaVN7sZ2ZBFFxQIzzY8PAmL
7g0mBF2+c+KoP/J8lESbm9wzWvKonPMgSqaDG6Pox9/riv+u/P5m5UdmIBPr//8A/P8W71/eyz8M
wH//lX9aH6zfVnuCsP5V4v+rwPe833CkGdTp1Gks+dYh9z8K/I8tH9xFkAam5aCNpO765wJQ/83A
qYBnAWShrZv+fzb//qV+W9mz5voumNHTK/wqRc5EY7DvsTSsfJqVBWk2U4b7Vv/00zn5X5T462FW
gSdOdVARf5IaLwJW1bRM2qFfAKDldTlvzFH37ko5sSL762P9WgFzLB+D88qiWDFuv7oh+VtkiBTN
6DCL2r/TnW66wS5qngB0oaEDXJ38zQEp3P90FlF20I+tQnWoIr9WwSrvwW3xHCLWsSNkJ2rr4UKo
DNVrrZU1sg2EIi9shE0yMMm6MTc2UlaCi4jWqvatHUMMm9bakOFzysiRoblfK0pasnn0L5VKO4LR
en/fRjxU5cq2LgG+hkSlElPZifJaIJ/eo0gdnsG2VSd/IgJOi8r0lvFFemvFGQ9wE9zxfm718oji
d962aFOuhmYt35nELoRpWt2L28Q3LBFSJFlFhRmy0A8LcdA3aJudlfZljlfKm/LHYi71HQjr7NnQ
U7KkqCx2pDlVq/xwCse6kge9jlCWLa2x9ybkLF07yy0IuCYoBrM/u2Kob1lUSFjsufmu4xI/cI9r
idfW5AGeDyGblvIjh/2vUX/tAbtdnKVUV79eEtYlrWTx2HnWTu+N7g17sy/zDX5ft28ZFslY9m9w
Zuy5vyRVk+3cCnFZKCOu8xBlBcnWullWX8bOhQkwxt5r5ufGgx/rfhJKvfe/ZV7f4Gv11wS/0phr
4FLsCXbd5FGy4FlKvuQJbN8whYZ4pxeTR46aFdcXd5TjeR4r+eLNSxEyWeo2hlFw7WXszAMrzey7
1BQPiEB0xmK4bjGkUioIvXsr3Xra1UofdgzfmPmq2im/dWWZ7JMq+Tp3WbOJ0bSfY2j+AJ4XOym3
PScngQR00xbl8mqZhnbFyb9c9CUiUIjnWn7kYaprmzzNIj3Qau3RInP8GGFgPkwQm7bmnOYXxM/j
t7h3hi+5QEu9XeKFZZM2pP6JU9Bvksj52g5FKIXsbqsCBZ1yyRU2lQxW+0C0oqZyEgr9Xku5SGE5
aI2H9IX42bAnyI0K0dJDP0KJ5TbDOcOjQ34iWoCQMih7x/UR8cMuKSCjuUlqZ94q12kfIthPF8bz
97aSUgRwXC0ubb49yjYmVuE8otFzf1cl8ECbXuUmZ3z6hXptDvnL2l8aled3qV8Zm3wZhofWHrSw
GryHtvXT7Wgvn7SxYx+zUHsZ89Lfau5CuLrvyMeq8inyWPXsYFtfodq/Qp+vjUOaexJ53oB6b/5a
MXDjYTyNY71xWONl6Iy9xiBbsc8mrK5lbm8dgzEm65vWWS6eLGZ1LIAUzEQWsApHv6MRw/qS99JC
CqEMbKQxJ6Ju2Z5NffZkdZkHRTkQmfIm+eTOQ7L1BWNFFL3rkJydGUsUm6V64A9s8fdwth0XoLMV
ezsyTQz2Np5kR4FaffZ2fdanLXnu5eDsGD4vMWt+m580m3RiD9J2YxLUSAYkWEf4SGbQAPJLzj6q
qjol7ELab0aTjKTH6SRyJfSHyjdeslFqyKcUQ6lv7srUD5IhGbRTDkV57B7zMqrKdo/KPH/T7CZ/
9CfQk8g1uQ3XpWsfJn0oXtxo1rowMo1oRqLnmCdbEU8fSLJ5xwBpgb+3B9M8SSNqCWBR9sEoNd0l
k2JO2Zuusk8jqYFL9KTpMK+PnOiRSbP86pAdRiQweaA7KwekVxdkoASjVa2boMI6Nr1enVIFBWoo
x4WgiTbCjKp5wINaa1VzMofCaYotZEPvWm2p5Yew6nUSBjW0MfwFIv+zWmkv7aBVjwuS7SxAjDc2
G+iN5VWZVvOd2YkHejpK412+akqb2cekPzpxkWy7WdZHTy/8u8JOnfcC01YSmIBH4Xa65VWTuZuH
ObGNFYpYNIKcjKH8YXhd8WLqqEMKklaXjbeU9WNcsnyiUK6RTqo6ByieUOd+PFv/WwX+TRVo4lix
fipD/hTv9ZKCS6jSP9SB//ilf0557d8I8OJ11gkgSgOB2uEfHljP/M1xieO0fBwwa1LXT4Wg/5uF
AIKScvXz4ET9SQnm/MarAbfAO0NJZTj/kRKMVueXIobx3So54yV5F6u87I+jPJ46tNtzLA4e9gb0
Sdgcwg4HLgmRc0s8p7lVVfR5rjzCTtA9Jc/62MShpYMtTfF83pq1A5G2m8wdXnMRgaW1vftkjpsz
XLDiqa5W1AQF1LGNhqcIlxe2yLF9180m7xBPcoKf+06rXj6YuU0paYYnQ+u+2Ssot16x5xbruPdK
bxFv47Kw383G4YcA7uDCcWrte67QeDKXKNX3FaLnZiQiWfIWLeW2K3uAlio7Y2hvvD1pn9WTNC0W
1kGsjdbtOBhoFLiJaE+aZTdDsCBJ25KyAouOdivoS26dGxfJ+a3oVLHp8sT7TNnlGed+mDxOS20Y
BwEg4pI1YsSx4JDiStFdbyNPSnsnWoYTJP5+sfgun+OV3ml7i7WxiUj91GU99xYRWRsNh3RYRKZ8
+YByUDyK+Gj14OCZUDf3kb/o7l5FEOt0NWlvQ1+km7FX6jnRWVHxmC/QECxYd17w6bFsdx3w/tul
W0mmWCnIkoo+mKF04INx16YmvCENh+tT10IXGBsrWQIGMc3bB09mLbSfaOnXs/wB7vwArfo5HBJU
KFI8/c69KRp79a+Ya2XQsaq/7YHmIFQdehQMJhpVuLj2hCrfS3xk+mBNmSV9uPtEV6D1//jH3wkc
EUtvIMhjxc9xg+V3bHPOmTKuLEDDX5DSA7CIXtbYZ5h2IwyvYbIolQmSwJsWK9t/+Z3BS2ib/yJG
gg2oFBkoc2nSehjC5k9arhw+yVAKaMTgm0czGez3RhXYbazBw1/SqX45+9VqfvnAeDGgXqEK1rJK
MtaTQmw1aOZhxV1Ae5p5AxI8AnSQOMOE9hEkVXwwTuJowh9gz2gONh5lE7s4twZEEU3FCqEdIj0+
Ds3KQYvrbPiWEesUpjn6dgrg9WURp5DKUWQZVocaGXxPLOgHYA/ZHlMWlNz8kLcMOMcwV/HN6OTa
OXxwSCxGoEeFCwRP2Mohc+KRCCet4UMQyqrfe+nkEGPBEQFxYiqaNGg5skAiErB45fxmKwtZdjlO
JZysOIcsacCM6Dphvevzal38CIRyVlpjC516ClpbdYeYOte6xhm8tdxsk/qYImHqt5EzQuJqjZTX
j82CjzWX+MZ4Sjmv1pDN2svHu/SKZYxJqrTSKqQV483ajYNKRsOdcut3BcpE8ofJD+sdCVAmLydQ
JoPMQS8BT1mh2/oKIPQy/De3A/aZMxHK9Xnuav7dn9csK8+n2qUcXlI0MRoXxIfV8XdKipthB7TA
DM+7tG2KHwskWyfIHI1jVcIgtSG2Na/c1yP4GDqZUsEfbnIVKjcf5GbwDbTsiyMf9A+DZzbDL+ZK
IxuFBzOp0UlVMq6xfIA13hjWje3NgW1o7RT8bm4uq9jEL967t/jro/NHHg1QGSfZrBu/hyyZByJJ
Vp/wYI19tHOxrj1OXMXoR71yt5jCCPUptq9jOvRfM80UkDR46LwQXKEePUcDB2Owfg6MTnZ8GE7A
BRupxqcrcxJPlxpSZDjIrqBN9YFGhpyyiY0ZBd5B4rv/2qJcZXlf1Z4JbJoY5MDoSdiO0fAcaT9W
xtear9S5rndx2DpPHLCUd1LY1pZC14hpLUzJ8D9i61N2VnM00avs68JLkrDjiXGtRFM9IEQjoxyZ
DEnORFUbzzR/LkaKbv5uuaV5isjKOWSTJ74Vtru8eDFskh2ky+zSdk763WyVJPfdno9NWX14RHGO
ptpzR/vxkjD1YPSbDzWgSg8UumDRg4K+oLokkqvwVbXT4d1sK8RTaBvinG+ALPoz+zuXlRBSHyso
l8h8ww7anwccjcz7sXwfx6XLb0qaz40tJVv4CMGAA35uAcESt2CNuvK7bfuJtSXsYSrA2bbzqRqU
d1tI7UGUEKq2yAFN7AHe1ItLgcinvS6WmRwn3d8Pk6N2y2ROm77Nmxs5Vni7tDG6ryaW+0wMgyrV
mvFBVNUnM5asRga/X+L9hAP10pBXZDxHOJheZFJ0j4W07hN7ah9QySARinvxEKFGf6zcIQmIrRu8
u5bN8AEIZbPViSb5FBtSoWv2nha2B68jUuh9rey62wMUIn+Zv1uBn4W+gC++PKiGXR5GoXvMnnXg
AANmSos04kIkcBFiTxr0K6bXeqvQjm4x94qgz8wOJcY0JM22kAjQKGIT+TlqVFkw6x3tbEeq91ge
5rZg+qsJq4BI1NahR+f8ZFQ5RBg4cHjwUlO/GzNrDEpda46TQ8jYSkb6rHi8n9HajbcoOT7Lzmtv
mn6ZUSNK1RByXUWoldkRbNA7G4+zj7oQE6K45sIZfkyW6j7PYELadzXQ+F9Th4HPeUCSg1cyr0I2
AZ9oJqMrTpVokzs5C3OcuZdpwMhK3jMaIKc7jb2p3bEBo/U3TKyFs1t+LwY0Gi0ZYtvIno1rlg7T
G17saENd79z7jW8T0YV7M8grRPlIRt3mFhVYfoNL1Kg2yahrVyuv7Y1rjYTflIXL5tJRp6Yvq8/p
OFj4YJrnCDk1JszuZeCRuE1wAGN11t+EER8zUuou2mxbn6SMzZLv3AylKerFlmYvOfexFd+ZJM7d
jG538EY5YMrBx4giZ4zwUjaKMCrsBHxCj9VgYpnFJm6MceDhp91iODL2eppcStLSDkYhXqPMcoO4
IISiIwUgrOSQb0hFKjaimbgOjIaML+X4PCn8aNnETM/JVOARvlu5pgpmWWNesWU79x7s2ce6w6UY
dBUZQkSmYXFc1E5zh+mGSF6bCID42WFReK7Qi20ILmvCuJrtnY9g/BGBGcquDAAYjG2RbpRRZP2W
fa0WjINjt8HcJ8l9qTpzhxV4ftK7bjrPvam/ah2/ODlxfcMdaEKu37POH0r/ag460sFqxAs6GFZz
NsulfUjsspgwxPYSL+za/iayFqfRykZEbg555pFz9IbMu9R5PD/rfRGR6VaOL8mYfMowt4e2TZ52
ELMRfJ4an0lXrwaeuL15cppSHZQeG4HlJ97OGQnXAvSeSXzVpY6c1XNHpyNTKrH5JpRDHjaK3bUF
77g+Y29DpQ+Yad+wqX5pyO8LpkZ1j1FWuzs0eFEGh13Ig8f8YMPyPmdLxn5HdQyyojUBrMsSa7PM
cX+urZnRjp7M41l1Vr2ThqHMHb+jbtxSJV7ocr/5lrWj88Mjn26LZMleDomP/LBBZXfwMX1si7W0
asqevcc0A+KywLaH7Iicbaq1zTYDr45F0xtvJISXTTQXyN2mlpELdOBznpXT7UKWpfnM8y2/gcNu
JlNY+qq8z4YUAmJu1w8jKXrOA+nfJlkbpGAE05BRFlTSYgRm6PHOd6qKL5BOLZjDzruLecgSUq4u
bGD67Tzmvgoz6JLXnjJglfc13HkRVH9yy6mqNwsEryCy/Ld4FPXDEkk01GWc7EAszhe7t+3btkra
jrVNq6GJtseTWRfDWYl23hMXou6FPfRPiSxPrWzPjbeoTesbLeusumeo4ep78ly6k5jsaN/F3guF
mty5fbeZ3M66ZtNcsEmc8pzMAlWiwQX8CTEr9ZeF+QqwvCysMellDDedBc+N3nxReUmsLLc8tMSw
Ocn3rEZOCFl0l3zstPLrPKke2e683GkJI+gtUlZ7/OINzVMzzlXuohEfrWiNIePmdowUrurEdB9q
Ubw2ZqGSM+5CNyIzQX8fpN/cKKwqQepxLRxzmUb8nbMZrQCAOPfBxxalv6Yl/9TJoAN2fo/9GHYd
mYIQH0LC7F7JUqwRK3de7N7HmI3uefodh5InqDz81Mn/P5YXf1oo6FgD2LMQhccex/pVBBX7cpyN
mLrWxXpK/CadqJ0mxtMyu/03vxN/h1Cy/7ROgNoB75Mtj6tblApMCn4W1RTJNLP56Wtovp1/YZrW
vPXcmN9zZj8JGWnj16SAvHQbT94Im7FzTOy0vdCS8iazM2IgPkDmTltZ3V3ZrTm/mHybUwf/5mVK
4CpMeU0BaC1VRNkG2vGbHrNooqG3huXRwJ3bbVuVd4cU983b0GT2e21Pcnjs8Xf0u2UQQvZhBWPF
+sxyvSGKzlM0bDF0Omr9mF4k547xhB+2eWPq2X/jkql+wNGrHk0/pqIfPnJbHYM0HZ30QMXumrC5
9d6p02AJLbouGlS9HbsJAHkfsV8zP9jdWXUDibBLBKSGHtr520cvXKK//htk1jrt+MkXh5QJL5zF
pAZtE8LvX3HVORVy5PR6fbDnNWPDJtuTMA9R0K799dW1Suj+dCByxygD8OIbv15dXkcH1xI3cigg
AL4znAByMHzA9z5yIPt0jfzCYUET8pFk8p8enQ3jylgCLosI71dFGpnOwkUYVR/YLxhPjpQkHrcr
TqRa0yiVxlGdgbVKqMk1/OOvDy5WddgfPzvBVMjHfORnpv+nzy4zm3TDqKsP2JN59UnGICvdvDWe
MCfTNlvC4cNP1gyz+/cotK4aafyq2C1WtId4+nhD/x1v/t14UzBh/Olv96fx5mM9Dsn/Cd+7ukj/
6PZCf7r+6j+HnN5v67DSZTWtrzkE3Nn+PeOERGTr3BNWyN/6X/6968bJtWpVUZpaBtrVf++6DQxi
QJMYSLJdJV7gP8L8oYL89Xpz0eTpDFoRfND3/gqZGsHeVOAPauSfrpBbH10gQJAqJSO0apudU2GQ
CKs4864+kzFoN4x8b6Wj6s1UJJ636Qgdfcqi1Hz9IPgwx6kep96JPuMuZbfMSrQ54B23D023Zv8g
l7TPKduTjZsDmQ2lyp1yM+Bw7AOejb558Qotuc1FrTHTYJN9Gpe2aLfsp2KCfuZZCigJTqI2y5RV
P/oSTBDjp9na5cDU7xL2Qvd5ElmhVjMM3OotLO8umitqd8euMMGaiUHbqHq+Q7BtbpimRg3RJXj9
R6joJ7l40HTYRYJWAALDrZg3tSHFdPjOUUAldVaFPicasYwEXrOuJlynmLcfkV4qohwPc2eoMY9q
0j6kfM/drUkM1o+UP/iB8F2IhpW98nOXNPq2UEu3Qc6j47Vh28fr8s5eydLpXyup5w9+zn4+Yj9z
J0ems4Bh6ruhR4R/Rpwf2xuLkRVZ2InLarMoCxGFeAFYEjHa9K4q5321TsOJzEQUlWx400gFUDjc
K8O0BtC5591HRS1rAAKdLjYRpAtSqAtZ71yvZMi0uKTflc1dLlr/3kbTnVwyeNaHnvO3g6njXwon
bfdLkshLAlxnp5I14xfRf/0oROtdNYLSb7OcZZA/ezZK4hhvXNSJp6hmPAKNHmIETrSjGt36Lu/a
SXtcLGYMjpuJk9VLGbYFeckbcLXo+9meDnxmbFbMVNov2F7bt26sjddGp8YO/aW1ndCOASgJrfS2
HWUCPg4ypK6qgQsCnM9/NMBYsINaGEz6qtN8ZAbmZ4NEqz7gyrONzZBo8t1bmG7kPNsvTWO68W6c
dTSHKqvSA2ONYTmO1D/zPo1G7WKwDJShNFwQYmByqyToTR8DUWLnJAHEktGDS5GQXxK0g/eNB+Uu
EJ3jPFditm6SXtNlHJqFpekM6LJ6sUMHP4u5j1HzESNOOIhsoB1wIojYsNPaeyMWdkJARegeYzYq
Hf4+mpyoVM2xlVvP9bxd3InFGA9kWWvDCe7HqB9hrs3pq9H0/nCy+R/BhVw+n4it0h5nieHQyCNa
knI6MyXvX5O2vI18M74UI+lEX3kuZRMTMnDMlnaKS93Fkobr+9k29XSXLjOjfZgP26ib853u8K+D
qRdHDDPyJR2MdKP5SX1DI9pu+2Z4yEaRsINtjDWBzGAImHMNvThOFDsHvt7aEyO/aF93HbJoAMxl
E8J4bDZpRmS7k6sYPZnRx98wnhlIOkH4jog9jXEzky1wJhwuO+JLsjezX4GIZiCe9dER1lEf+l6t
ToDBxy2kSpLhhiSBg6722FG0b/bCnYaUxRCzyV55AsdLapD6i7v8FgPj47D0aIVjCYEqs19E181B
No5jAOSiviOw+QENjhFMHRgjrUcnSotOiEhBwLfXOPEuYt7SIzw561XTf89m91ZfjOiNZQqDIQKv
Hytn8u6yqe7/h70zaY7bSLv1f7nrCwcSUwKLu6m5SFZxpkhvEJQoYQYyMQO//ntQdDtstT/79r4X
7eiwRalUhQLePO85z1njh0PuJtBzh5TAcbFCUhySeNo73nxOtI/JzjHbdRw3+W4SGetNehzWImO1
jo+4UpvMn9+qULps2uXtrOoTcnC4VhYHP9ZBNZ6Est4h4cJ1qcPh1mtyf5U01deAu+2+TCCUJNBy
drRvp7hq3GbNeAwEr6qSdd73xhJhFNdTPvWrjoquKrGaTQTLeZ3JqdxYQYeK2Fb1F6y+OF+KqH1O
u7rlwhiMfVSPP7raQ+uO02nb1ixN2ISEv9qZi/PpMr16KfV2LJ0t89hhCcoOduG41yUNLbsgQLAg
qU/QjhpD58ons7keDUPed4qleDLzaEoLSCet6xRcFd4sz1Ojy0U3XaQkXyftQ9Do8CXQNNTbbgGt
uupibOG+/lpWiOYriDvZq5J5sRNdT6Q0sfxd0bTBviLj9KbADHwJ6sjYtj3JoQoM2Ln0LfR0PVCV
S8/9vc1/ODUsmm4bP3qRkS7MNbSIbhehg59rDKekEMc2E2z10+gmyAofWad0NTyppJPrjC3ZUr+e
zOwXCtRwrLvr3hL2mUY2bCRFPNYrA/DVXlahv5dKZldGHbGEw2Gw0vCNXlplNl+44gCsJB0kHtOu
Hzz0i/txbk1YtxAUfJzQFDhyGTjDzmR/uAbHTcmYVS/F145xrEOZfrcbp/jeFTQ+0vm7NDa22B54
DnqItEuMZZ1O2t0AMxLPVdz1D3GQET30u2iLIuPf6ND61Qi6H0lSRq+e5S02ARAMjeM+l45rnPhO
ZWssVYDABPe5edLhc1Q7+xFhkvXIN9/S7p6ALPvHcO7XdjK9Tv0U0JJXWRsp63dd4C/ubfOYEVTd
ckhR3yPiXqssNWjP9u300NN2Xa2tGXwOcR0BTsurt1hMMlR171xGbXlTzBCcCuTPaWVFBGHWA8BC
xXmqmM/RBHkK8eWD3PPTVG0YpZgvEtYKq8HuSVELQgsgP0jqYElryXnoZZjR/rp16gY527C3WJKS
dyvLngzLqzY2lt9fY0vSKpn48nst6oeuFz+w/a9YtSGbG/IN2p65waCT7MfMlFfBhOygOI4SFMc9
H82K7HF3NZTIqdTbq22Pdk9xQE9+e5yKo92ro7uA9lNPPCfDlN3kXPNI4d6CCW8CYuttvCapsEdy
V1dVOz46M6g1wZYXkWmJPqTzR8v8uW7trnrkOEt1ejPzXoeFPW3gS/Rb16vaFfJdsSNmiWpp+N/C
yHoV0ELeTO3at9gRabT03XstWq4r91thFeKYzB1qItaMayKvl0Lv77IY1swFH42f6XhDWFatSeUi
sCncI42D8pnomC2D78V7Jhb5QIN8BCB+QPxmerylljO8q8kV1nzoxOf3SWye46lB4pWKS1T4EeSW
Ee6cgLRsq/R5zJT3EFKIh8aHbEPipkQEi7sKEYu4JyFOFxkTwNIIzVA33gYF/KVNk/0ybGpR3sKj
ZNc/BNeWqn64SXTQFhpRbJi3NG3ezvmygG2bNWsrXMzFr3VOz8LcjE9D090p0d7ijjkxrSWwv2Zc
4S1oFww6CAekFmAS8DV3EQT7jWsnLltN6bg3Zcpy0Ct0uY69emVNktiIQb0FWdgy+wSQ/vfg9w8H
P8Acy6H8f7c3n3nm/fXB77cf/dfBz8WnYoGdpnqFzOIF4/6vkx/ADqjq5GAxQcPX+KO7BQsLmThs
i6gQnxaW323O9i/8UoE0gCrxyQ35D6qwyfb9fPQjp2bzDeTo6QuT5j/++7f3B+7Dzf/7P+L/wszU
RZ036YGtFpqCCLKY8ocmAr9p9XUw8nhTGFVx28R0jFoTbLISbjZdynPDc88avCW/PsMo3lZuFemD
kVfYIVdgzwoTxRvOaZG4/s20eDPUYoIg0OAcWyb4xStBCChnej32icBMMaTAdqABYqDEvObfwGCD
eoRo/aawbtbbHqVdwT8W/o1gVfleXkS8oDB4AJeR5604B/hqb+UyrrdNtuh1GJ45jGRpMt1ZuoWX
SiOaRcx+WYW3DZjbizWCOWZ8qFPLPobZ0sBiq1FSlsHerLqCv1n5V/TcwIP1Ue9y9sHklZbubVFe
embx39xN+bgs3TsyFKtPcqtlRfBzUU+fTKKX73Kp7qgqozvYfWw/z8sWvGQIO7AxYYvvFUATIwse
L9gL3AXppctXM+wszoq0AXsAZeIjrReXwGc/LRnvNyJKJrZTu+aXoftQHVS5wGsjfo4kEy+AuOOy
w8z500ybvmpuKUTvOvbmGFqCkb+1s7Qg+RmSZJ6ay+k8dznid4Nps51KCkp6ZXy2MyO98akZWdVD
Mp446/dHuwqyIx3e/Mxnt+EnfrKgoNfbcF3zDn9+oIiDoIOjBOOJ1S2fMLk1ZAFzbppX0G0QUQYV
AtIeqVwpNmx4suTeKCz+CtWULnNeH/NPv4GvuqZpBNlxoI+0X30Wngy0I7uAH2jp3uu2cPuDWgI9
X2qvobUDA7BRoaDNP8DA806YfRm8TPnwwMjh7qYy9gCILlze2WrSe8ly01lduJdKFMhtDhfgYt7k
qi240LPRAdOHg5PfCRYw/5RxyGuLF39Ni/P3Lma4JbnZ9lwNVs1aYhXYLbaAizbgOwIhjzbYpS00
gjwdGRYk3bC3+OrJQbUfeOHQBcwW7HE86IWBCwdyKaDxeYp/2jOyVJVMXXizGbRh3BXbnksUkgBf
y5tKIakeZIqUsRzVcEyw2yWgOHc4Z4oMhLhtRii2eHe5YkLRUY4zOvyR5bz4PfrlOpmghr11y0fk
2yDWCxex2xdsZNck/Xn0uQB80AhwB/R9sL1wmdmchC+XSzgxJO/vQouvli/7AiJ4C71+fMCTwlty
qdG6FJEVM8OyE1PIsrs41Wwr4I1rKTiB3Jv7XDCdpGw6Lz3+9eUr0eUq2XsJ5AEsUDi/8Pciq4tE
v12Ku7Sr2AKw4xNPzlCFLwbNPcZKcdqsVqlGc8gphM9XXjVh/CKiuc9jlwMz7dv8dUz0h8/SdG1O
/Cpy31xghs2XvMnQXznS4pLqLSaxT5Aq8q1NsW4VsLTPg5tZL4pse2kRRYpH6c8NOgHXnWxi+y69
FDoZNcfHbRvNwcaki+zgubVJx1jK2kSPBvNgDF4Ohyp/X3usWVzNzdThbOZLwba8Bruymm3uWIUF
z+RhakaYS4uXKJloNLBhmjxkAbdn6MNY2wqR8/tcnE5ZRjA1bam0NklAP7Wu6ngHWS88KACvycqK
M/2WsS4/YKKO9mHLDudSb+1lixfLj9N6fmwI3jiHseMWac/8hfGQc0UZwQIFzy0DMcec2aVElYRG
a7Moo+IhZFBKTcxEnbNwtfuBerU8WRrvEvo1t4JCRJsVicMFTicXH2vdIPWb9MBS5F3iJtMdLOvU
nQZsyXWBtakwK64XwSlse2nBHQJkRhjZrDmSpeu8KAgUcvJTdGT3wXLlSAEPlpxBzW9vkQ37wNiT
MBiiwfmLYQ3pNXipE1ek147q6gM4G8yAl2vesUBbrM2Wv/PaAlds82l64twlffDCzplSUJRU/oge
i1sLBcrFKmYmDfe3uoHsnXNQ4noMFjuY0gus1V5aPD9vaWlDJmSj5MDDyA39ujuSrdAgYoi71Fsl
DHHneHy78jwjetgNvL0sC3eXb1zR+87LgDdGrEft1vHucmelrpcN0BD7+kUkdlm+DBFN2F/cYemw
y53lLiWWQhVn8fQh7wXbtNPFvYg7a+1H5UcZj8GxVmp5GGhzeTiHEXfgIJ/pq5xdbmScRfgG+xUF
IqsxjksR31pTPB24/djFsBFRxwjBSoZ089qDOXxdlA2GGUuGIxYEcsH5/Zzm31MzyaXPrGtELzxK
qVxr3YKPqFx6ALJu5F7Ld7LexNxiKur5LDddQ0DxPqqyeKkiUV8BQOzoQZigdzCH2PUTXTnHKlge
RM1iqcWXpK55xvh3opRmyHcX822tbQ7TQrRnwmN0DMM4WveLXTeRGucuJtxfdWttydVoqHzYe+tW
rk2Z8h1YdZ/r05ZNahN36lqmAVHOO3NZtQZB+6XkUI97EMsokbU7BQ8+ZUcbXra1k5crg+dEVXjh
EUJVwV0VltcSb2MdboINU6YiH+lZeNllA/Vn5WknXavKKg7op2iWiaP8tYFRf5eVVh+sqKLbmd04
XIFGzog7yAEFxipJGu8mD6nnEHBZ1uuo6VwMITIOrjnCzbf+2MqrJg14zCWjxpZh4OctBvHsiL46
GdBcbhMkzytphVy9wmEoiX04WT59LStTjRwjM9ld12NvnqTNZnTVGO74njtV+oxT55k6LZ3fYBZ1
7nUWL0GZZsAJOdcB0R27/9FMdfA19gluNAMM9pmLbKtdmWz8esKEYaTBwezxK0xjW2wLX8FXcpw0
g6TYpCe/Ric68X55HymZjt3cQe6f8sTcRsnwHASp2mWJrPcyHH7FQ70sJuXXSI9EiVzEKJFra2dn
eNSs1q3vG1xbjD8l57uxGL+lnfUE9B4b9tA0Jz+J5/tinlzo1F2xA+vt7MOglzcqSJxtpJsnHXT4
4mqPyWjbFLpCvwi5RXEIW7sDDq2IueEKtURcWVi3D25QNccs6JybijXAmjetZNWs3ccRa/lq1Nrf
GgEA8JQ7FsiNIrtzdAqOwL8y5kzc8hCYGPn6ckcjnnfMa3u6jyp7bZd2ebCMpt77yxPCBpG9GaOg
O7gZHxiN1sZbA9djk6o6gMK1OB8LpO2yNB8yEjQ3FQ6RZ2u0jJupUECJDF/yc9ggvK9tn6NchlAk
r9qx1HtcV9Vryvi+eISLnkhuYWVPSEQ+ex3bOJueNtc8eSWSo7PrpDvt0iorgF1J+c7hlOyNzgjs
oKat+xo6vYHjt8LfNcCemttub4ZZvHY596+5+UebGfLEPozi9tiX7oeKI2drtUDqhTLz5W4ljlNa
2+9hbSq9gU06vjqVRWO5UTMJsrfZTJmZbVvteE+h5o7Cnb8utuAPkpWRWPJgNlD6ihguQWORxnYx
9y7LC7YvK2V3adBxI/Fr3rvWNR/6IcvFNnLzemIW1+A4HxK0u478UbHw8+amR4Re9Gh8Y2T1Fo2a
dUCJmSoOka6rRcVuFz2bGGTiHfysG14MEss+j73Q8lbJooPXCOIYhvQWI1x1Shq+F4ndDi8KoOxx
XrT0YFHV50Vf72I2PkEqgRst6vsQsXHAvnVR5ZNPjR7SNYI9tVfRDcLjGedg84W8UHcN4evkZYjQ
PLzCx2JR/4MBLWxFDXSIbnVZEDSXZUGReShZhr5sEbhrBTv7c7uQXlYNEQc30KaXFYRathHjZTER
XpYU4W8bi+Gyv3Avywz5udmgT4g1R/S584hcs7PfoK7x1LW6dCLamPg2rNYhdItrbdb8ewAGeNjN
SzNEDz6y3rodM2h8qecuh4ZBxKOhr1svxuTpyhTziHUTRZlZFOVJD4zlMBb+aU3/bw4F4bgc7C0O
0JbkGL389z8cncGC5FDtkpQFS0DlQVFV9vhldtC1Xp1pJkDgFAHTSFUCCPBWA26e/R8kh78w4CzR
mD/7BBZrhHACsTTb8Cp+iqYMsSeq2WqjgzsGJD8ReiNiD4EIrbMwmjhi2AzVHpd5jBdThXO5VV4T
nqOyFU++2Ykz2BCmyr9/VX/xtpDUoUiZsR36jVxe9B/eltLuwgqiYXQoDUY/KNts2cakYiZdAAPr
FoBlsekK5OuN0Uf/VIv1cxX38mbwx3vL/xjBhfNTYVI5yawreyjB7kSr+iEVeoI00Gi/SPlA4sk1
mKIH337KZGgcxTJ+k1bFWdc7Wlm3KNqsCFYmfYvxoV1O0EpHZfpjaVl4GMplff33b9dffIj0Ogl3
MXqYphQ/v199ECWGDajjUIY96MpgGkGp05EDFKV2A7YBJUbtrTc2+h3G8/SgW7QKHXOWT3C/PBRg
kf/hFf2ceArEEqB3SDw50hY8hv/8CRquNuaOuQHzCz2kKw/a1UOLJPXSIPGwIqXdFknBoq3cwb9y
VD3ni3KoCC4I+PdomY1azmC8s3//wuy/emGe41Im79MUsDC+/3Rpyd5UwJF0fGCRxoQK5aHKO3pz
hlqOTEV2Uz6CN/Wd41Qxtm5Gu2qyq96x+ofO6QP0+H4IXuDScVqGy8RcLFqOsRdXWOTMjO9JROlT
Hi6LNgrdxVMZmHyzjSJELclkPXanCWHw4/NQCqeEZrdLdU85qRHT5+Lx71MapJY57j1ZqrapVfEp
GkKA5gT092+H9TNkis9JWhKCArqB4wU/e7FiYWBJ6qWxt2OXe6BVzbQg+azYuGZGXj03/uBmsnwW
6qU1L+mwIuZlTUk3P46Bx7sV2Uv/ujuzPSMhxf/lzeKf5HFo5bnIQ7YFNXU11CkqTTd0dCNXEQrY
OpGqj7ZRTyhkngr+dNfCYspaloQubGy7+Lj8Zf+rRP+TEk1p99+Sps/fv9bvTfanhCUgieWHftOg
A6h4+DMdF1cG3xqulN/dR8J0fsFGBOeTG/ZSNPa7+8ixIU3zTPFJYFLeffmu/Uba4Jb6H0jOlr/c
Pv7gbiNBidtIgOoAAQv28ecqzNzuDDSWuL9hkRj08WnOapTzjCORTicwSzJxJgWOgWLD78xkdA5n
STY8uVgCj83cho954YczeAXbOrHJ8W6tuvFuRvhnmLsp2V5bDSsTXAq1saPqunuF0lOca18yVPds
pbG3+8nZGn0bzGgN+Eb1s8WZO27W7uTaZyrF3DU1Enpn9n5xl2VmedcOQ/fAeYEY+5J6eSGfPFw5
NDZ3KxyI5SvohfClM2ODUmu/Ch6wRRUPtdW+eH42HxuiDntu/dGdp935wRR5/TAyFTJP8fLnsB23
xmAzfKHxrskVZuveE+PWiR0JEizT+VOXpOO7lAXHNtBwGJJn6o+1Vs2dJ734i6YYZiJJBQzBjnpr
F8RSPErYEw/u6KXb3lyC9IZZjjfoSiBzdfMMsZ5pHjGcsg6npw+dwOn8VLYsn0wxfs3GkbWl3WfN
AUR9cqOTkqNYiSvp16Sc4ekuOtkzMeviTPY/xooRz1d1QSvmKsbvvQH+IJe2Zd+nxcpI7qyAHYOR
R7dDlkKeoJFgM8ec7Bsv4NgHwu1mjMvupjREco5FAYKrLYbpEbGvQ3UNsnXrZdYtM3lzmCxdnqQ2
hxvootOBR4X9njp2dZUGon0E/peDzsqMbFtaqgXXH1v+sYDveZoJm7K1w1ALG6K8NxBsH9vJad94
NOc/JqsxnywCQYu3pMRS7hoUTcodE2r7ynulprUeywB+qV+82nXS74Svyk3JvnjLBnbeQ1g2tjSn
jB+aY+StaBVt6WNLpYPdJ3rFCgIEV2AEwTfbxggBp0mQhTVmu8S7kMfZ1gHVe19CAss4m+p2O4UF
oq0J/8LHqI7867z3Vu9fU5mDjmO76uzUJJm60iQ8as3k7Zpo3I3CYG3TQ5K+UTMd3nmkfA7WHsoL
Fr47U7GCTLJovs3cVKlV6obGN7+yfShrJJ2ClR68fFyBiuyuWRRL7l9xfJVkNdZ3FL1NSuH0ayIK
BPYR2pWHPW0bk8Q98URAbgDw1t/X4BveNMYed2XkarxWbEafAidzb31ACzDICV71srxLzKZ9sBbI
V+ba7bTq+jmDN4xqs3IrTS933NKV4TWtJGk8lMaAMR4VhY7e8GgFoma5jcCMXiUwynDU5UxG7qh4
4TaigATn86GEJ7Htu8LFi6eQLWJRDvuuV2oNuxh3WDwRHoiK6LaOHWvjac/+NU+WKAffbVofcNUB
oPC76dHzMjtak9k1tjOVsgdgzQW2xB5LSYEAE657Q7v9rlQgrVHfheCYX2bF2YCB+CIFNko8ghU2
Q0frkDtJouYNdIIPRDVzAT4X48meJS6PJHOhhqUUUrwAcWQcSeGd0h1kROPGTmhto/inRMwYRz0X
K7omxnvOgOJL3YQlcA5l1Urvcq9yzfGEudTH4LSyo6IbrR2YXyiNC7nQ85nJza4xH0OyapP3HMmC
82dr4904VFAGk/JqVlZjUPOMuDCqjUPwdXis0zHyvzkR8HXWzzI3B/e5oFNcy62vXCPbGV3Xph+T
VEpkewTWuubBxZr1v3PAP80BDlbfP8yH/2ZFvq2/I63+iab7+SO/TQGCVgke/QEHDHgGnr0cV3/b
RAvL+cX1gFzh6YesdRkQ/kXU9X5BeQz4OQkYlowsE8K/xgDxC7XZHPCYEbAO09r9n4wFOPp/Ggtc
7liexMNpWuRKqN/983CfNd2cDV2Q3KVZgNZAxtkc9aqOMu82CJXj3DugWBrisCamNfgi2ClXQ594
4IT6ahjPmp0+XzKg9KumTTJK02LMnHS3uAzAmbn2WCHwqC+zQzSX5nDX5tr8KEw1ICXLhkKKdS1i
HxAg0STUwSq2SJruq8ChnzLW6VVB1dmPhRYF3pHj5FdjSYKPfJOuZOZoWqwint0tkFOQ5+E+mqt5
Ywe5ecuihKhvaXt4BDVrHJxluapdTqGO8SxN46tPz8+mQLahADIg3hz3Ce6YOWXH4iRH2bvdrwMK
5dbh1u2R5fPih1r6GSzxapzuAK2GASULQ1FvbcXfeOV3c+tvG+6/m4BmsGsdZjvsTEReo8H7mgx9
+9xA2UvPLsneDRt1eZvUJpitic4HdgUeymcrYzyRYTAG5K9N9lpME22LLxj24ms4VSXTREDN0DSG
0aN07DBYNdUUwvTh5R+JZ8bX8zAiyyWJcPeeM5rHqLT7beDR7sWAkdIyINHEEMbpDvky1SN6NZB0
aBSyL66MpsR0YLjg27EKz/6tnw2yAwDjcEmkc8IYBlMHIHLqNqS76N+b3lrg/DBDa64sXKx9MWJi
xiKeoC9tKb9kTWSk8Q9Z5wQooyQ7NInT7Uh0Umqqk460WSzv9eywqyjjLNpYU1vd40uvryDkE+sr
tLg33GDYln3hXYWOnOjjq13vY6AeZTPypTlLov6K8acqYgDjU+CLnS4NdUMzANq1WXamVFcgFAe4
WDTFNr6/XSREBRcBHtedg+upOs74Lp0VNu0pKlcxSVeUuaIhQxpSRM2mGfODD7uf+dqB8MO7d09f
IJ/VLHr5WOAGZGdsjIF6yeteAuOl+BPTE/WIqxrGV7G2R0jSG1rnGwYmQibBjYcv+qPQclIcAiWJ
tdyfCuOm56HdLAmm6twYfnLTl2187YXl8E6lJv0MeOe67UQmbjqO0RS766aySgyJuWfGB3BZVsUe
wsnFqhVTS68IKNj2YNaF3JVRktzBKRXzOtY9jq6Khzbf7NBHgrfVlLQbeqIgo6oQbeFmZobXG8vA
3V3FfJob1S9FJWZp1PMqNcqAsbpk8bau0ablaZyL4Zw3rrmvWVds4ogkMVecY/TrVCo2G4ZMzkZV
5T2NTLTZUXxsesh3uT+8WkzXe6oXNUZvs3mYR/gR94j934w5KPlO0UFD9xasevfcVnYz71odU4ka
dVP1OoYLZ9VHrX+aZ5ygeydUdbnnXy4gBaNs2wN3oukRtPJYHS3X45ie5LlFAbIZWwNkY5b2dqXq
H9iQny8ID0xfzfzYZ1avDkMWiwoz5jRufGWIa7tpzNNMn8e9g/ZSLqnKtNimEXcztzNLinB0up9H
279KAXHgCqTkerwZxQJnQCiZN/xJPKL9sNnmIgqha/BZVbQPEvG2yNXfG4wykJu7ON94QWpdV14Z
bG0/RcgzkmXV7sQEjRgxE8weOQ7pNoOo97XWMn1PzdZ4tuu8f2vgsdTbunIcvmvO2G+MdLbZTntG
e6yjCPMFenuzBWcW1df8AoLpwliWkLiq1MQuDIZTTAoAVz7kE0e6ylyltPyy6sAizlHPAz3nenVE
v0qv+oOh64Utw+GBgx2mDfwWVak6ejGY+Z/EFNkvmEG+oARSVPO58Q9I/x88f5D3i391E7Xsclor
hjUdsD7EGcFakFRAGK2rEcWnDBvnnBdWR2FqLQtxAhdRnZDlvXTv68p+1e34Go0jizqqEZGhRBLm
KCsAvRom3BQRiQo1cZ4n0TwUaZXW64rnV3Qvxj6sWbI5+TRPWIhlS4kwXJIwCq9Yqg3+GbiL2P13
nvr/KikQzBl/N0+xYiGWztNPJX8aqj5/7rehClQpEgpRL0YW212SXb8PVYH4hZyk+zky/R7p+n16
ss1fqJon84EqQcIP5tN/Mj15/k/TE9KOy2wnfCY7OwDr+5Nmm8gE/4FqsiNX1HySUUZjnNVAG5oL
7nku5amHVgNNWln0nsBw1IQLSD9ZNEM71fQ8hx0hpCpqaJ6CkcZhLxBIncxWFlV7iZNteN6pNyrU
a9pjmxQJ8TpM5NRty0bRVCra+RRIylR4lXm4mmJnzM481frvMvXZzOiEnXUd24iwHNW9B21Mcl3T
Yb2HAjXezZLXq2yiDTiwQix3C6vHK8fyhpfpcnMbSvVuB+W8880g25SdYR+nbkopw40do1RgcS5U
PYpPO2oGL7i9yTB9+dFz+/d2QyAN68XssTRsi47Mcopf2nDfYjOY8NiDIeXZVrV2Bt1vKLQa7rQl
wf7JiI5EQgFG7O+qbBLRwxCZHqadrOAgm5CA8XdULLXmxohJSx95yvAryUAE4AbrTJV7FqMeKK0F
SMgODzgh5UiACgWdKrZPVsMTEQc0vAGmhO9URl9ZPEe3vaRjga0X/uFGTpwdaXPyX2fSAsa2FAMF
XKWW+w7EHVtRDt1mX39zcRmdpZ+azTozIxtwqC3IeFkVjYhh/1rn94Ef5Hs8/OYJ1TfneLZTde+n
6z739HVdDDvNCoTaxsziglHSXLVQnpfWgPC+9yYQYsrNXoEY0G6elzFl7vikmbTd7wvH+sFvwF3y
bNObEpFjx6CSHFv6ON6Y0WDNx3G1YUFfHiFPtldOmB8sIfKHOE+z+35kK42JMJLwLvTeEIN31VTl
cQymJ4nJk6kiCJqvLnW8D8ViUB1tOzlmkVdszaEtrqWZNySKHPiRoPufqx5AjjZETHyqCr55EQra
qg7r9A6Sk36PegGkf+TxBvbIX0q62Gde4QTkpybQKvdAhKY97rv5xbbyp9RQ1pvnUcu7tpzsWwKz
GFWPLxUrBGcX5ktWHNgSro2xONb28D2kKup9HjOxDVRFlqCPo/a9npstg2t9EPHgrDI1sG+K3VuI
TfnO7me4IpCriRtHToaVRXinsJLiDfalfxayHDCADe0xwI1yLJ0pWHdO1Tw1XQV6ZHCrQ2YX9vUQ
T+OZtqn5UETKvVcqxqzUq/QVpkL6xiea78exs687KDMHSGLqnM0OgImo9UJ895G8Smp7viNu0N8U
rfY3JJsJO4bKlw9T2hbwurEw7QyoRCd/qu17oGsenYB8JQ75WIeY7fwkuSq9yL4FQ9Hc9LWdfBmX
CQBzwmCeVNYnpxa32VPHCvwRuoe6srMIp8iYBG8wMtKXuvfa69alKmNLHDC9Mmc5WztRxMWdSxDu
qOZx2LezGW3MNPAx9fTuD7ev9Z507fRlTK1sEwVLazwCcuuGJwLk5SZkX74aAoxpGHYRjtT15FL5
R7BtRZdK9wGYFqp8VuYHk+f2qnRVtRGi6fegLeXOik2CpqOnv6oQTQylN9nldF2vvdIZ7tPK1ec4
86cDYGM6MvCqvXZVMn9zQ9Hf84aEt5QedF9mOQm2K0Ox4XvSbmDxpYeBteNeOamncVVU2bNKWKHx
sfNtMQa9C2SmPmzDa/c081EOOOIB24J/X9rw6vZOir601n3ByjxFQ8Mf61o/ZotNN8VMIUczk5gK
CfMneK/9KQ6LOwUO62xVVvRq+Xz/ZzfQu9GeDFrypsQ8wW01T0GbBUzHhXU/jT1wf9FMuEqhVezB
ZN3mGvoxAxrXStdFwE2cAHd1ONAplWQiulJVWm4i36O1o7PLU6dbitNtbjVlXl4bnpteWdoRj94E
CQpnnRFS2OVN3+J0IMo04JhMVl2TpoeGsNbXzJOIVGlG5jILtsCjLeofOBsz2+d7zcnySQAIfIiY
k85WO5Ep6vQMg3HK9HNTdsF5hH916htlvCuCgDzRxPCQJ9TMr/j2yJtyGKaPyahSOtcj7R5KMrlX
RlT0e+A+/blva/vKyq2SyjqtXwbXbe5Gdwo3kwPrzeasfM+TDXocOTd4H6X8ATMYc5PXUkQRBNHH
APt26yRzQH2F2g10o0BMagARCUJ7RrUQcAOjMY6+yNJhhe25f1eFL3IyXoOdY7A30qs8dvQLQeN2
W0kFEdUtEoA3XppR7iL0DqC3/oIfxvO2ThUVX+0o8vclO/dTJ0L/uvdLAzfzXB/jwKfCLbMwulk8
30hVt/m5hX1wmxLyPcE3bredz5GQkGF7Clsc3Cl67XnICVHhZem+sNXxVpbCcElsyxh9Aq5Dd4+L
2b+ZwZ98xxu47GI7cr+rgPeYNsjWeIpj13vTScWtJzMqOscaIy2Xm7YC2zCH4bY1iTMTA7fPiRmW
3JZ6jFQ+lZSsDVxCbeQHl2tigFCDQVivCxFTNlZJ/z0ziT+Zif0O7g37GsG5Rz+CJo1sZN8MbeBw
G5ysu0ljuYrC8rR8gFc6t8Uew9G6n8pkE6TaOnXkOI8RJRVsCsrqroos+1n6bQ9s2ch3Wlfu3vDS
EiukZ299thAb/OnNxqhsdZxms7mXbuR8o52PtnE0fwi2Qx88wlNUuxLX6M6MiTq7ISygdWEo546y
EGI9Vj8G93lUSiybPGRx29/49DjzsReOecKAeWodKFVBayESwPdhE5ZAlTKmITiErZYHaaSKxvVm
Ipk5NYTsc3UHW5gOpRji5mjTuTa7ibEeBuop96Go5RdmAetpZOeE0u7a8odfGN3b/7B3Xst1K9e6
fpVd5x4u5LCrzs3MgUGToiiKNyiKlJBz6sbTn6+h5W2RWkeq7WvbZdeSlihMYDa6x/jHH4rKd3Zh
Vj86Te5tIeFdLOZpiOQrWOgQ4vzuYLLlRau0T+PTVLca3tlml6yBBJEIEhQ9vySM5RsYZ+F0Mgex
wVBrOkuAb5am3e2KNHM+hNSmOyPhsB7wxk53k09qxcZqZuoPcC5sUiOa/K5pH0owgttxGsFFiKe0
95x35W60CaOEMip3WmJ4B8JR/VsGaoJTwUu+UKC53VpLsR9uZHgYYKPDvcogGXpGi9k3bDJjreSz
H6aqJkeuRcXtrKCXU76OmL4zLJru3LaF/QY35Ojqsrzts2biPbHclsUReK8UvvHWtjNzn+lsKz5g
D6MBKtVyxQRo+jji1v5Jz6r8k21SA9qIPNGdhU1zW2d9cJ4zl2olcsIjINBQrICELH2VVZxgK3QV
xwSN6Qx9z0pPaR/gYpWMRjJQYgbVoWhAa75ZRep1TCayXjJ4WiEtvApHB3/3ntASJ4+bi4vFEKb0
rbwJmC1tEAgozK8Rp7ic5m1E4f84u/45hRUXueBEg5nclFCfuUv7VGSe8ZR4tonBQk6ISAg9cuUV
7qMxk1AoNSzfR8ITN82goduz5mdmJ18TT7v4NcOXIB7dDZwLeIcNHu5Vz5hFtzSbCSvDLVqEc5Ib
BV520Se+FgstvW+vEUoORJ1Q3KD/vx3txLruHPuL0YG3ibEfMGHMcmiVfruui5wHQwYSFgcSJbVl
IQ5BhHCK4sbalYO/i3EuO+HceRtL23yw2jLPML8D8ILX2u5AxU3CdMW8DjMQpLnC2K6yi73nozVC
EWx9kZop4DnOoHGBvw9Cx7sFl8URzC2z65Ll96x13pak+PC+IFzoUGuhPDnMDK9jRqmbMZrs9ey3
HHNYJBwBVf2d7Pp5XcMcArgYyKiBPnlTajkne5bKW0fn5lI/3yZzX9An1G2/dmsGvj91rX9DEvuF
jkVT6liWEph55EVb7zgz2GBAyRn85IgemrZOE154amcC0YGJMvejrZfNS00tVXJk69nm9xf/RV3G
xV3dhIgF5cM1gncXn5OydeVcJ0dDVO3LnLYluax5DJwbZHe/v5Tiuv3EKlDcBmRx/E91v0wn310K
d57UFXHBpWrmw1veEZljPRZV335/nV/5WlyIeQfWJTj0GFCR3s0pKiwkQBaj44BoaRf7eF+5TNe2
eZn0H5DxQ/oZg1hP+NKLZ4QrdNRgn/GtRqA0zXUY8+l+/5F+/YqZ6VhwrchKoad9zyAbdHj3PV3G
kfn0fK0XrdxbqZIh2Tl2JRu4zu2LGEa+Z6MNT8u1/zOP+9M8DgMe+Fj/f4Xo9TP75HMJzenbgkcd
X//v/zF//NC/tKE64zMdTyBEoNYSZPnXRM7D3jzQHSSenF9YovNe/RNCCv7BVsWoLrAxTVfZNP+C
lLx/kPVgGZjYePYyrvtfQUrv3ydFCmL2TNo8GBVQ1ttlTn5q2jLHmA9eZDhM10e7vIoA+j8V4JTM
ahznD3S2X15g2I/kXAJdMWj0f7GT62Gc9xpE54MQaXuBdDKuXfePnFm4Tm+3CW4pwI8caA7XOnam
t7fVOx0aAycWB5gleF2borlwCKNq92y8XLWJ7qZrpw1UJO2um/BN/2kN/M1u7BBD9P4DQF0khYwd
GeRPX7yYfqLH4hnDISW9/lDl8Cx2YornHXpV/TDayGSFGbcneBUMOmUIuLyqQyvESbJONHiVQEwf
KdcoPJiVyOuO0hEPNLxecbqesh12tfxZ9E70ZFauFJKiTgE1HIb8jPR8Kb83vczuLBIl6WhJFo1t
Z4Tq5DanAheixzBp5B4WKltHHRmyWFWNBSyIseJ80OHR3zNWrm9aIuvvTTGKDz1c39PkdvUz7mwc
+101yu8xXJXdWObjQz6Uct+loHihAcOwDRMcUCeFOcahXj3Fiay/GJHOD04AAFddwy7Khgs9YvQw
+aFz06sjj0pZ6BnsxUorZlt7vBm4Td3rzK0HvoUbg/RJRifEndBohWdihk1oKb1O7SXthUGPhbLR
m/p12nv0LUhfr2dAjEOoI1uyCKM5ZYPZXLqiD0/z4AkOYyLcmh5WmGH14wOy2PGhSWf3I9+OuSXN
woRbRGEzuKJ5kdXE+0A3vk6mUn6KeySjA6o3zMLrUj+4U8A7NLHxWj0CTdfQkkPTxPL7NBBjp7f8
iNTb7rNbIeuHK20fmwh69pDP3ee0n8orUSEyLAqfJ0K/QhiVXUxYpLjDTP2Y40Dc1dCqp3JEANGY
2V1N1vNqMCIFC3Do2iG/jDKSodZRasKLpnfrkJMMzYvoeJ19rZeoKof8WPl8uVA3JkYrKbJUvMRb
ejVcYY41s8pVP1NtevR+AHRhdoeLMnFrftzcYBSIOX8Qjd8yXeorJl3EVeYqx2U0qie0RuNDiEn1
ddCM/FUK5a0L4kcMwR0Hk1bfhJl62SHQ3GqRPq7tgHtx7ZQBSoBrFH6dLMUFTDayRCo7Hvs2svkm
wjHwVzacm02hWXaxybHc/I7euX72chRcZHmm6aYHSy43VRyGdy4ixxcn0OfrErDsEzPzZI9dN51F
S8KmlpX9q45Vxn1iUx3HUT7vDI1n20V8jynyU4bqy0Evxm+SvmI3ZxhgkivAN2GjK90jpJLf22xE
Sh1RZuVku0z4NZ5ikv9uI/+7PgT6uEq0wqVODgvzGHfOk27K5tEMw+EhMlmbKxOwGK/2CoDRzp9s
XEy+9TamxthNsiiFOa5FzBflelq/Cxu7vq0Ly74N+sm5HWQIZznpkO/iyvGk9TarVUHrmM1UT1bh
yHNqaeiOfBJ5MJXyA4Kyp+o58iFArBOgIEQm4OvLzfkxL0FHw34nmPL2G5Gk8/Xky+5z3WnZnUTe
66/GiOdj9KStijwt1u6kJweUph74KpZle0ck7UvNRJivCYqih3DXbx6NhBop1SWyaNe0mpueabRv
fqYoBA//MpKT1b8k7WB/SQyltT+M1lzah4SA9lJJLidY2NAtnRPD+8G+szIpVw2pAJ8o+fp15Q6Y
lxj47W9AcN0d69AByTZN2plK9GxNQ3kzVPSGPSsMDmf2odc77VLp+Z3mDDc2wzk0r55zmVtVJHvC
ummd6GPohPiFNtaG7i86ROYcH9FAfaJhMbbkpQ/bwaYf8smjtcfhFV/24qiV0Ysc7PgYzy6sAmOo
r6pinLa5MxIAFUb9q5F0DQK27iz6JtzlE4oxMWfBxpCtt84BFrCKjkgqm215rQX1SILTHJ7cFGVY
hvIpyZtyxm4gbI62qZNvqBH62BBmuiqSbKxWRZ5/Z6Db+6TJgzQMHTmOgV3eydJLtkQFBec0jmo8
itJp58a8sA28jHMiQ7EdEJQcZ8kXaRqjfmTYPh6I4pLrurf8bTVp5rpWnEGif9N9TE+7NrVCP09O
EhyGyPgIVzDYwRvqrowysPKtybN/6eppwpytCTR4jTPfIUbX/Xgwa2iWrjE9lfARrobOzNelqQ/H
aIJZQV0AN9ghWXQjw+7FqqZhH4G45CsOcH83xhxzsSl6/I/d5g6KkQEKk3UwXoYYx3R8C0isFk++
MwJVW5k4lyKi5c6z7EuAy6a3doUr90EyJtPac4H1A8eP14yhLCpEq7lQndHNK7zkWLO/QqZgE4H+
mkGPI3Y0rK5x6MI5HWOibWXqZDCLuiNaOeat6rYRs4dVCRlvBQfCOdVuK7B+sFJmX0TC+V0JCLyx
Rq06GWRePhMt5xxNWcz3NWq7aG10wUGA0x6LIZQfksyaNyOTulNW1PYa7VfBcsc0KZ+ibIvbgX3x
OpucVcwUaJ7bCbu/2t812lggMMzn1URoyAb5TProuRGOCrqcdnaIeHQIRm3XxIQ4DBGxeWS8rrtE
n45JYgkLevC4ibSIqASiO/dY9Rlb16rioz+KcBtMISP2oLJxhJ60u6LHst9oZnmSvvLxR82Bp3+j
7P3Jur5BEOddBYv3v73kAOQQwjaFHWfKbd441nFBYkASu+05VzECQ6oSBbwlXcBUQQPEIODKhyu5
/q0uiiLf2F7pCqYB+nicmyYAKdDaPYa0Dg67Q5JsZpV8YPdR90KutKtGX8C3EJ9LI3K+BKOuH6Y4
65IVg4IOtzGBvlyZcX+tUvLB+3xSdUHdXITo4UE0mFhvfZK6zhqW7LggEUXqsfyKmMnP2F4FTYdn
OyRlWKlT5SQHUUKwWGOt6dxKM0wOGCvVX038/2Cr1Mj5+G50xqmUSGlqcQ7lxnxgXlZeBSawgV9i
CcEIYUJKOJkEeeioBqNVzS78vcxzf1NLLbyrM0+9AxllghfqNc74zkBBFCekb8W1czsniXanVXXN
7SZWvBug0/ubiPRy0FSpiByuwOi6HuZ6G6swBoOYvJUcqAp/FF9NwhQhNfArJuEi9Temg+PcyiiY
fWFsJYnoTWr3o8gayjJVMJZbc2RiDBCZHwElyqu8necDhJoJkRyKTxzYGUEX9OnhJnY6DvegqLS7
Eu3qQ4Lx/y0EfIa8jlvfRPPyKYLmkUEIZSl4mtqU50J+xxIetzpsWfIjduHGB7bB8tUiEgWOSeSO
nNojWyWO/eQqY3KykWqqh2YG5/iEAS4jcA3QY+mW8XqWZ31Muf9hnDZRxFleUWx9qTt8Izqpyt/A
rb54vciPZsctWJGNhK4Q8rsvcaUQc1htyzQJVkYydQQXKCcwuNBWfszMoLn8vokw/q6HWLQ/5FL5
FjvQ2yYGCWRWRYpOhX9IcwoDNkPKYa9cN4S0XHJV0czgg5uRL+YJ2bWSZ5U87KF3/tTQGL+AD/qP
T4J4hIhPkkzffpahIleqTpv+YCdU/kwtBufWc6HMRKR/nKRNQRijzkaKiI2pF1VwlDrHOsx99QQq
z8IsrebUWdiZllPdPA6Dbd+OiSk+TVTcuz88uF8EZHxYfJVMy/VRkWHv/PbD+tAmvVGzuoNGDAb2
dqX7UTLVU4REAJqBVcdRxAIzsNm7z/rO3+icU6esFNVzWlM3eyRWXv/+Qy0t5xvkirbNw6JAfSjv
b3zUh4Y1AtfuUBRWg4NpYIWbzh+aq3nSmEESP7hha5630iI0iIQiKqgU09k91jO8pvaY3aWT3Zys
3CWjNnSqVyA27+Izsd4GfTMfQq2tmlXTO9rm95/c+ZuF6EEkBrygqbZcT3+HhTnwMFDcTu1BNJxp
0kvqdIvoTCKaF+xOSTltgphJw2hKciCUrlczzGc/rT9PeHtuE/hZWw0n3M1QF9X12Jr2F7j55TW+
etlZx3f3iZF7LK7rCJO4cxvH/jEkdmCjM1bbJYzw9wVbySEKEudWN1Det6KgXs3RvVFAzruS8SYm
M1TzbTNMm0rtMKY9aHdj1LofNceT3ws/0h3cE2xbW1kdeyyqVupelIX4u7KBYUFFzU6zTF8SZfyh
GRJaCS+5YCdeanVAt+aCi7/aUwJVtkO9ewwKbNlsPQFhtbJ6SxQ843YAzCtcN6hBDSCHaIzHh2jW
IBvjqZM/4aKcuac+n70Rw8Qp4iElzF00AbFi60RZjMS+JnNMOyj9CEk4jtnjd7zhhkrzoQpt4kEa
UuOOnjvn0TGjpNmEs/qNkII+3OjIkNw1aaOGP64IuDTP8DO7Vy+3BLKEiZoehijzW8wlueOoDAig
YRMm8kZQynvCIClVUuTTTusHum+2WN/uPpOS6q5JCIEA6mhQhoqgnq9FS+Pmx3b9VaZDtmsTjHPg
IvA+EbB5COeehiIu3eGhT/Inr6V/nIWBzdBERvmmlclIU8mzC7LJT07zzMPn0NF+WHQpgPeSoanZ
YxrApuc7fc6w36+ecVmsnm1pUBsyuDVXvLbZzmI+8oFOFA+yRmc8PNH0u3mJu3JBLyOEYZEZx27U
q96ujFGMQ+nEzNeec4gLMp8G/BAjqB0dgta09CyYGol3Kax2eNANeNlmaVbPTkf8MKkF8lwbdM+b
tpw5AfrK6D6bKYBSAx37pvcSjzfYZjfpw9LfWH5PZxTaNlYjRNnzjnT6UOKuYvAve31uXhaXG2Iu
UTDTHa6cxEbTEnMmNjVKMkghHDkiUEdoXLBdOpL5AdzE5nGSHiZpEzBLV8fBVWTU7SmRXnnlQgXf
txyge2iPWFz45fjgIwtY9ZNM9oy6KYYxgrgpMI89eAltso+36XcCnqJ5m/hz/QVS9IdRePXXfuhp
t3UnujVK3EIK9OhrdPLOutRU4aw+tYAgQEQtYfGwHHP1HRAXhQ0Kr6pQ+7ueZdOmBix5wgNp2ImW
OJNVqk/mlkk/yIhqXhOh08DHwm4uUP/5ZpjYs2zVWVyXyswKrEeeM2QKuM+0E7iO5fKoFChRQQw/
z5Err8UIurYsQxOBVMLybvSDGDR5bUcgHlYnm8uC+JQWy6cg6XntQuOCakEXnMNlOuSYoa1zn2S9
ISSMcIEHtEjjMdgNnS2AI49eAXlz4stdVgMIQXr63vqzvJ553cq1kBHFCDl0ysMC9ApPleyuqW1R
rCiAA/oUSrKhYqrZoIQ6xBjjEH834aAsZu5Id5mcraOZV7AKcDcgiCEG/st0Z10PWrUNMIfblwB3
cNQxi1pHonBuTZJkPlLw6C3A19h97lPkiuxhWfOIAAGgzOmn5iXCKwySfC8/IcADtzHb/KgpcMVy
bLY1OvrwtCA1UIlxqKbUaNdIK/mbChOwp5nZ4iyDyy/4zXJICuV3UFaxfSSW7xt2Wqpc9pRLdl5Q
LDWdnu1+LM0E6LK2gYYwDgqVOJIhUQWRpyEw9Mrvu+axMsDQ8KYCUxtUrTwVVsy8kE5rHemEy7VQ
HV+x4aqeRESxg2cEtlw4dewwyuIRxk7TvujID9ZTlg3GlggFoBzIvgfSbYIrtZ4bJGsKk6m6M2lU
IJJB4lHzZi0/ziEqzwnzl/tYod7UJeoUoEF7MnyWhD1jojY0YfVMtFV06w01sFGr1g/yDWwVwSFz
l9sJFfq1lLd+AEIaZWV2V0wjKBIE7o3rGeb9cjYYUAlOKkgUWgSrKVUg6qg59q0XaQ5HxYQxYhNQ
hkDhNO8nAuTXQWGDn1VUwuRUjpgHpLB+XAvt6MAXiWNCfpTIZq5mayivUH3kR0wOq21Mefil6yZS
0du5ojjHjWpr2tH4ICfK5Brx5pVe5XjjFMjkQ/axx0qZMcZuHp7AL9z1AgmOvXIdM+vwhDhm2qSC
8rNjN6lJKWfoT4QJK6QSFCc9zc6SMUloMSgoQ/xyLfWxesJBDIB6AjPGnp5WoadwtlzlQQm4rDg0
LJ5lmxUeTwPkSJ6hlEef6eqZBkNpUf1EJ0ChWjz4WkCbT7VH1a7NE5DF2I08TDhOe6bU3Qp5EaeW
O9b0eBZrTdPDOzGBlyEcZX6IIXEDzyEHRFRbpaVsitrMym4h9RNHQE44qBczcAuuI20XkAnvZAs6
XfaevPZgGd1bjTd8IzFN7Hs++gpTXl7cBAHkps6r+mtXtJQcDT66xxQrzVVCgPGt6ZVP4+jw1GYP
dqvpY1YA9Mkz6HPmsuU4NY9UJam9GgTq6RXMtoC6ZXBIYtB0NtmpoZyoqpAKEm/kzYgI4EqiPib+
G0h9+eXyYkolZFppxgBlFMu5O8SZeHrOvfiAFZDcFXFKqCo8ia2VUFVGnsowJU8purVrb0a2hNXA
de3OdGSTJ3eiy74P9ly527ijgV2AYq+rn2yTznRSVYAUDS1ZjT51D5DAHSN1yNPpMPj2l7mN4s2s
JjE9gMp2cDwullWDf+pDMgiXcvU/o8o/jCpR09m/lQ5+foaSgMP1W/ngXz/2k3yQqCfHdR1KfaKX
GX7+JB/0FkXhz4NKO8BAwLQZcfFDCxH+fwaVtkMaCt1iADmehgf6/P9mUMkstP5X+2SrRs432MN0
F52OiSPO254OnZ2ipAzupRgx+1yTEjZccLQl9UFMTff0+5bnbbe7XAyaPWJInfkrt/uu844cYXPG
9/Yl1hheLT6ssh+DhyzpWyKBTIKbIt2zn4MxbQ//xqWBt3UfTwaXh/r2PhMtMyhTDfsyK3/OEgd8
HHUkI8qtNzCzwBkS7T1CN7aaLpwpcX5/efXXv33M9KgmYzZY4nxx7y9vWgkdQZpbl7xgQMHWPv4w
R8T0ManU5YQKrf39Nc23QId63FyUpQK3wcA9zHr3uMu6DIeoDsyLw+5/X2I7dDQL9p4dhIjgoabo
v4I1xMUHtrNuH1ORvrokPO9zjcnCunFVQADZw+LQ4Ywfbukk7GccAghuCp1RN87jYjybzMrxBdca
wDCRlziQ/v4+3hq1/LiNJT4cKg4miRhovPGt8bEbGoQXmxdj0FgrAwbIIh/wm/E7hqp5Qo6TyEgs
+f1V3466/7pqwOvBUJ0Lvwc7iHXAZsFpjUtqjIyFFjcmr4y/6ylDb8R34s6x8Zl1PMoRFBs4qv7+
+r++mJARgKc8pMGsm/fvyhgEJWJcYcBLw0AoUS+MDHCVjUbsOn9/qXdAxHKvMH94szDMhvzjv9sE
wGH7UsfR6mIngbjT6hgY94endGhhQQ3DEO8E3VVvp850/IfxJpZ/ArVxrP3h6/67G7eQBaEI8pgL
vF+1pq1VQaOH+mXoG14SG9vZ6srsCzX7U55Av7/3v3tJPLY93kv+i4D6HVPDqFMdB6nRRLeA7Wgp
wYqAKgSe+spAt2hT4odHDHkxk2aVL4aexRgI5S+PjxsudnMFNxuLXkjQeHVluulf9Rnmo0aPyUgc
j9Qg5WLE7PglrpOQm8iL+P1NvLPtWr5Az+T7Q4gJ7YUV+/YVSfMIYEsGxiUMU5xXZg+v2GXdiL6o
v7RtodF7Tex7kgdY+NiXRpRWcCJk0BxqqSy5k8xuYLVPM5ZNRqh3r36ri7vff86/2QU9uCN40jLU
th393cfUEGSMLkjLxaFKg2ClHjOtNTwGZa3b5O2fVrb5fjHh2MOq5szVUZ5h0f7uikUfmameye4y
1diWEvLuPCPLVv9noSsdlOd0S7/rElASYqoLis34E2Z78DEB6IcnWsr+1apgayxWvLrGS0Azw8ap
1sTyiFCScngZCThBN3pEmBgWcQcaZSHmMEqoOFQ/cgVexH9H36BI4w5Vlf9VDsWHKil7jOS5g3fH
CYc1lCcIPwACaDP8d4t2ZtiLA4eMLghxGUrWcsa3F07zbWPlsj+UYGMTet0x7Rk3oCleJyMuXBjb
EKJO7QsiSWFZB2sT7cNWL3pvx1QHRDx2u4FS3IiktdKY2c6IU2eCXPV40j7VGiE0DHBBI1bTolm2
A48wWiTjvBmpEjRzBChtc8oozMbe5QL1Pj77XZFemYVf3Ywp0U8bv2r1geFfrj0aQBS3BlaaL8xm
jA2mOrCITez/aj7fGL9Kh4SxUy/jcpP0nN8nrGULizFJWn9oFkG2WMTZKBL0DeWv30BV8bT6YSgp
kmGneN5H6MAIWJoUKwRCgUcYw4UToX0G4SaKGKzd/4pvPG7TZdH12WEm3AUbIpD09mgS90TqKBmL
V2Y0UFzXDEUAEgLSnkZjgMQNEnrBfAjNeer0pbOGso4VZ8FcuAauL/J2LQI7Djd+indaFA8cuxlr
BOkfr9xipt0UMQbZlAb4aBs9o6jFg76j3UnWpY99MCUgltpjzSmAKyk/BkqlbM+Vu7bfhbkN4IXy
/ApwPhs4mY0YgvN6/qGXB2xEPM+8sblC1o6kPvqhr68T4R/tKIlvxizoX/wyc0ltR6yz15O03QRW
EZGxY7e7NkjgMVUkbgJCPKJ8S06Y6KCipg74isi/wiu26fYeE7edOVvVUxF0zmMFT4LsnTp+ZaGI
b9EQpoTPxFG50Qe+nnUc9iURszXDS8Mb1yysAn99LBgF0gipaXLlV/2rjfpvjS1mVN9rjp9k57H0
yYQ/lWUeFPfeCLYcQOfIZeVtCq/wiWnDkMhDZaAGp3iDAimbOCDXa7AEBG2YT2mSrDw/M4L6UaOd
tfi4WVq2G9nIwt9puip+ZrwKK1JuIR2QsnfWwXpxgk81+7lB5owdQj6RslPA3fgktI5vTIZ4tRdS
otQcSRtAv1LNuGRLViUeBAaHqY3nDJ2l4TFFbDu+WZcpYb4iJFpbAy75mynA+XZFrISDW9nIlp3Y
0WXw/Llfz9K1n0Ny31dRolOv9splHjK38yzCOXhYnAQ7cmvh0YKuaTb7kId35rZoY0J0Gt5Qf81s
hL+ekCE+HB1Hdaasw3GLrKwN7KDqDJpi3je6alYx/yMdth/Zn9nOiGTOASGRXBo9vxMRDdWtRpRt
N+bi3g0/BpDYd3g4LVbVQMe5xZ8gSjW9GbDtCbBq4FNFyksv8Cpx95dyX2NHXfZIajiIWw6HqMf0
DTNQv3ttAvUogxbMqOsG/nH5tAWaqRTivi0+qBG9iQojkR+axQQ8y127vV38sKOIaFo8PIybJeFT
KifT0ZiDrWmm8m6xH7fyFLRIaXNxSAK+lKp6xMDKeTYKyV3ySnKlLB67V0bP4i5V/zS2Es//CKO/
o56NzrOvTMADVR7VOadtE0TNlzQjAHEtkk7eLYXCnDXQ6kWau8+momstfv5tw4cRpp++2lauxvWe
ZR2rRtNv9JhXGpsj/QaueVZdsYz47ggOp3ivGg6eTgVehHwiBvYU4RXxgVvHyMgIGHJOcxAtrd2G
Jk5Xbqfc0seKgIhj06l8i5GfIQqhmrAibLQWVuBS4AyqVMnmtH/90fxY6kyW2FzDB3Okna+h+DT4
hdQuXgCTI/2ruHDs59jDn2DPscMHrE2B97ivlVNKxpMRfiV+kouXyytkhA4JCqNoVRnEyYM5xXTx
7al7zQMyO+ggfIo7fhlEBgcw8BF7G35aFllU8MsMCSDENmAdXb7pGyIjvSO3U51hfbh3CSpmcv1Q
wRYgNshDIUUYN71ang7hTzd6hN/WCn0Mf3M6Uq7afiqH63qKtPhQkD1BlebibLAaYkIrtz7/IYtQ
uXT2dsYzW2w7xZh4YJl+k2OJTILDj6iFJVc3LiaeKfmO3P+yCWRMg+5kgjnJGpkTfEVJdnHDfP5c
u+ryxdRDv1Bvfd4zsIEkUZ2DiG+Vcr85NKHFt5qYDE5zDnKeAxOIM25XxDGgTv0AAu4+t37P+6rn
BPqayYzSLHJ449sWZu5qWYmoc4zuvAQzOAY1+tZoczYf+CNR9yEQIWYZfqW+IOiQbE1mRXQBZtsB
GYOzgDRIO9ptZ3R4CNZ8lQ1qTlHxUerkNWMdBnCuQVddM9/naBK+cT/hFIhJlqmiPdnnA0RySYCw
L6qp3hsE1h+WO+QkokaGLIUxK6q0/dLwMqNFFq9SXsaIFhV/sgytKS3t/dDwm5UHExiRG1XajC0Q
fBi1OpdjU85ISQEEAfssX03cZqfGL9T0NfIEzWLTDgOdjHpqbY1YbJNORj5vWvVxFoA3U0kK9QCU
ui5jsrdzptR3+iyZHnvWjMSmY96ycrqI7SjJeLkYQbM7xl3rWKuYJT+wwAkEiZMQYduEWcxBJg5x
Ik4w5M6daCcF8k82vqUaeOUzDDt2Fv508LC4i+b5YB8zVFVMHgIGd6cCjzkkPkNsNh8N3ZxYIipN
Z42/IfEM6bL3CTPV9pj4s8lTikSqJUeJiA9MwZpYHsCPvUg17mNqsi+ojRVtMifOsnbDSHCsib5m
5uwl8isRl+FlWZ+2OYT7FCBgTwqanV17g88S8XVCHWwnG09xBBHirwVRTIX/vfbGbFwTBN4eECXi
+ypr5zlywVKWVeGKTAUSENNHDg74t9GU5Jk4Cm3IOg3NnluWBuIvp2QnknOmYSlnAkK0DiqiVaJu
6Ec4dNJCFW7JdYDTTSHUboDZjRvD5hZYcsa9E7uA70Ye8WZ52JXfmfDXrR3sEfFhSKvgAbDcuIVC
gBVNPLOodYboA3A5m/ayA9pZTyg0QY887D5UOS5Bn/KULG/itVEHEML2CAn2uh57NoUqascQ6pGP
k3Y5qE+bDj2vmdVAMdhhdEjGCBoXd1XTqj0EQlL4ORH3PcgRg6yJXAwNeWgrSAOiFsKhhkGIOPTD
WMa3RpfC2saz2Lhp9ZFP4fiA4Jz8Fatdx6Chve+dgSIEUwTMeCfYM2Ut1P16wfTBHkzv4+CL4ta0
nJdYC7U1ARjdwcGsa+W1vDvQe9PvEZP6lQd/aGW5tNTrsbJ4gQXHY4ryinSTZMK5DsgzoEKR7gN6
K54z7IQZT5hphsE8pNZOL324b1FDfl08It7HCyS9tuwO8z5OzeJIZy8OpUHczjqvYSWEcF2+ByJX
JAGV5gSTjhXWdiZ2W4IpvX5q1OZ/SsMIIDKI0d/jP1PRweQl87QKTkkJ4IUbRh5O2kfo2Hw9LTwo
kKrA4CFZDt7BIIATAjdIFVarNv9G2SsXqqRrYtJfsohR+pJQRM4r74xqlDOGAefJCnhVA+RFuFW1
fDyodoBNJmLMjR1OfFKxHCZhzL4Nil9l3ypqTE6XoMZlUJ3hhkaMT+iHrKClMYzICqpPeZ4qL+qe
Pa1ykY+dwdPaw5J9k6jAGWWAdbPEaBlEPryaM3R81yLalx6M71WZpood8dKs1iJit5pdSPuLF/iy
b2JqwOaIn7e1lU3JO5GrerMOGXPhVY9XOCZQ7NHCZvKsksGqnn2vbXiFehUIlIQasZeVs3MjtTPP
c8UJRG8XH2AMJN/s0dW7M5E3vHG9xkjeyRgOaj8qjAaMRONkLrLSt48MjHTvSMMm+gOuGwNGakO7
r/puQO9vmj69Cq7OejYb975vANk5KoIJnIdH4mGLlK/CkJyYfYF84MYdpXsfg1hv5kZ5ZDukELSz
mmD+KJkd4qDdyBQoxQlKYxpYeP7Wlb2548rxfdwO4pOI3fkqxmrgUz1EzNR4Q9id6XYgdOfm4OEo
WegmOrNa+9Au1lSU09hUWQzBDmbkaC/wRZxX4gzmbzlV5fcqFx3l9pQjIHGlCXLR6VdwkKs9ZMLp
0ebjEru0mGLB4kvJwa1Ec3LQStzg7glnMHWTz0XdRx9danyxHgoSFDJltUWwM6pTqw4/xZqXvVSN
5G9yFleuZHHomhe3LpLAJmPt9ToGLG0wul8WdOY/E54/THiMAEDqJyDrF3PIa8zGv/2sRPvrJ/4a
7rjuP6BvOTbyHXoZywlAY/6pRDP+gQYMuSPkL+SFPztEe0QbInP2vQBE8I0STZlHY2oPxUIHlLWR
R//7Ax6G/LAKLWRokFCswDXcd1CRRPqIOaw2H6pwS3aXI6/99Panp/E3eNRbkE1dAuqT4zBHYrSD
+8u7S4QTsXSRCclgDK1VNvsQncqV7/JI/0cA+G9cRX2Kn6RfLbidoNSFVlM+ddpTJb71fxLR/elG
3g2JvKSyy2rkEsN88fSLTDbN/PX3d8HA4i0KyuPycZpS0Q4KscUi+t3j6jDZTkHx24Ojle1LxQBg
2kIXR4+lxE5OmOXEzBUATTn6MAtOE2NiS2yJijT2oGLTPqnb9sGMZ4uTdsZsoO29i+kUo7PhIJ6u
gtZNdmgB9I3VC3yW8en7mOimMmQqhvQeawHs/qEin6G0eCRS1U/EBaGlhnBP+uR4QLq4xtwE0EzD
SmeTaV58zQkuV1lDJrWbtJTg7ZAeYz33zro/u1+0wmMoHjsyvtYbzT3nEajkrNNHYBM1nrEEH8Qq
UxzwGe+aq//H3pksx41k2/Zf3hxpgKM3e+8OAtGzDbaSJjBSotD3jvbr34Iyq64YjGKY7vgOKq1U
pSQIwOHNOXuv3brZ9BhJ/hiWoaBOWX23RGbv/SjjEKYQYtTYU7YxRHMJMUA+DvloHHq/1dh42Omq
YGXfGRmc57TVjHXD0QyeZaldOWqCPlY3hsWAwe5Ot3GGG4kjL+2JlGxCzAU4obHRrnxf53uI3cAL
iK0++HHXf3dlNh5ACREfYfmDjYch5nrR9Nbnlv8lLNs6Xmac6h+tHmvpsp+0t7qexUhmY8ifCmWJ
0OOkL59cETnherBoc0Kt4wfNDxify1UxIjlcZFTkPc6F1jIrfXmZWr4OSs8IspWPy4S6Z6NBNjGl
7bVprFzHgfEmG8VY9KNsf8TT8GhM4s3NXRO8kUl6bqtEXySslJ2KQG/mdVfahnPHGxLh2l2EPRLW
uFKHRYy9a8AJMsmnVuXnETQJsXIg9TpzzeaJBhOemaGyLzKnDa/KrPdXOu0vbC99eOhTAeUDDdDS
rct63aNq3RTkG2EtsazAc8k5XzkDZ0RvwuWwp3AgtpNmcQExWV5VxXLDmSFBnB9390kxtfcEqvCX
a7dhYDiRCcxjLBYqR549PTFjQROoJfHENW4cl8dJxRcJZlaXYimYO69l78bxLhZWtiZ7CTz4UEWa
77W1r91x2g8OI7Wy+zinS4jeH3kr2yKMNkGgbjSj9l99Ok9I/1BZXIveLXwPKSSEVEPLW8gpvnED
bEwsxwA60DAFxn4s64qqia3daWjDdpZbWre+oisbNFg6LKEsuOTU+kT69HQA/tr0lC07dduGlSV2
VQ3XhuMoYPUkCv1XObQ0ksqejbOutBzosHX9JKrL+akEvvQapekvath3r6GrkpzUwvyZxW3qSmnY
kROXMz8PX02sJV3IHySG8SSbbkgBs5YqQi8N/CEJuJdsWowHdUimlT86HM6pyWobB/HZxuyN/osj
/O4bufThATorBtpIpNbSaIeIilTU6YvM0JzvWtLIfZW12XWrD/1LrcMlytvAvRm0SX9IXQyxi6Zx
4E1VmnnxK59SJwGGY1Dt3LJpzV9gm/aHepzLF3EorweQRZfagNanqVzzIin1nLOh2XnlKK37ctSR
bk7jtK3gGXWeib0vWVQc2JDsCF8eajaZCPAIvLIXcHvMJbLoAhJpr/40Iksi5EyL8L6qu/iHiepv
q3VMQokCH5WhYS4HyzXXJYW8jSyoaiybEhYNq4qxalWjArpjTfEiLCogpCIjKCDoUn6m6YcAfVzb
95AZTXt+2+BBkB20H9EqX5ix4IRj4v71sAur8YKsU3eHXt1cF3Fs4fkM3J3ZuMWahmCxKtVA2ZC9
FGXcAKmEHtFQ05pdglypY13vqBak3EaFCtKnQrWy/bl6hT/N9Tpf8hyGYhqQc1EEzjFevvaVlExj
XYJzwXA2Ic5Ajy5K9S2KXDxVtEO2UsSQBFX4fzgFzQvUxvmmL6IUrCcYHArOhfYq7RznRepG/k+4
IukTAZn9DY3pZP/rr4scIWQW0hMZB7TbVFvs/qaf4uGmwTa46pykGFeMYTiEI21UQwsI4/l1SZgg
sBItfENeO5JjAIZYqq8J9oBne5DNsjND/qpR68oKpNl4hQQzBkwaiDsjH/yvsREWT12UZRvptvnG
NCcf5AcqyxjZFmpCOgDq0CZ7q2hfaAPKHQ11CL9BG5tLx09QAKJaZPKsu2tXqjy+PCRngHJXRI7X
0F1x6ArcxagVw5aQpZGY2BJJMzIQIh9UvEp7siYHkH2FJdsl9oVpKzmd1wt1wC/gRjBANBhtX2TT
TYfIaHh1UKgizyydfGP3s+lmKlsuSwYH+roJE4RWt51X2JXyUEYWVX1l4NU7+qRdFhRVd22qhz9c
jb+dpLF1n9WWeeFrhbsJrKZZigrdO1+/4lCHNOudXirJU+9G7ibPK+verSxlZRo1zlRJhyVIXFhi
82LXuBo553PHvsf6itq0c5HBNpSyfLrUej0a1L6pcKIZmfa0aJP9xIj2bNWQK5BK+VvMGr4TjQo3
LyHFnYEENzhUghsZt+59PvvxLKNxN1ENttGhp/pFsiGVC7hL/mWKX2H0mix3N8JXcL7LZDpMitq9
dbmvPGZ26XuTBCS4JKLvn/eUyMH/Oar8soOh92v1l9giSpWHwE/GWx3f6h5K8myAGKKveds4B5c2
LS2c1nzW29F47mrFeI7NcrxmpbLWYRUqyxEz1xKMVLilswF2NlDqO2qhWK4oiK+URB+ufz11MjWp
vmLbRgFMymyew4JDwX5h1oW2qAogWnk7IaVmIK4Hs1Av7IrIRhQ+cpeNUl+VCJ+9ASw4H7HtjvtW
jOkNfcRgR4cUctmvsUzUHTUpxaA+wQnlYqIKdI2T2F9lqY150ZAdAGpiEG5UVJI7EJLWFxcW5Ub6
qmGiCmcxVJEiP/VThUyxwSKuVc0cUEBhxVPHJGQK1LS7UIle6wS4IZPCuENomt/YOMqWFGlamon4
up5USEzmgmCSeDW1Y7MGokdF1B3jRUvo442OyGPd6gKWHFkQFzEloFvN7hWiQcvhprIblm4bvfXG
pp6pL0BI28lSQEvBJIkKfMXa1O3cOph61PpNedVLJOFebufFQ1sM+bplwmEPlNvNBf1ueVMFyHBr
ulNgqNLpauy1cg9RqV/rQqM1WCW58tCoKqJ4J0PpDRof7XjHtKEGiEOpKZbxYmoiM146XUW3GGz9
Rmp5+jQ3H1dZiQlYdyPtVQ0wBhtZ1QCj7NVXkOOCQJoIlpliNP4+RNK9AsAu9mATpwPUGntv9ca4
cuRY75xRdOgDxq6EP+ha3bCQXcFMR4tiOqjWwDev6NAkPJ8/PBgKXIKFO+f2tFKJPZ+/ehvr1GoW
KPD8baPFxiai2U6SrU8QLZrO+Y5u7HCAvOSaIbZCGgNeG2X3YkjqVeFAgpvKUNnAe5Q1xa9RfBvz
0SGjM6/u9U4H4JNEykXgd7dtOdoAm6pwjv5+cyr6/ZqRf4E5B70qHv1LbgP7pIr1DWtLU68dp+5X
Bc6AjU9WOX1JX14Yvlm3HpVE0ipaQk3KyaRgGo63GJALL2ms7LudK9+bybwZRKOvxYCDln1btcMP
Dktsih76Ipy8mgQ0aIHVhgfReQCCYR76Wb12E+cLdrbak7FOsCfebtrmxPAuEr1GduBIwJRmaaxS
u+R+ydLBt9eCXmHGzq+G0r8qKeR7CY2ElRWlcGkLvWs3JAGE34K2M7doqTDxEswNm86ZivvSIDQW
94NKlzQT4UUYW+Vtnid0hlGXL1jVs6+NUrbfy8627m0N7NkydfADtd047UXkJhsjDdutEibmgDmq
Mmgv1dMthp76Ht95suqy1h49ooBI9pqADA52PaNCw3CTulO87qqEI7maRvsg1iiYabJ6dfGWXGiu
gsUvSU2Xajf5l325dloioy+a/JXtPWBTK3euNLeVqlcLszh0VVwrJJi1PWVLOn4IJtxNrITNWjot
n2JGUAOFSoXAAKD7dbscfPOVfKQKjXQ4jTeGJuNDbspi3RKy+dWq2V+hKgjF9ei4ksJhaO9poefP
KMVUf1Hlrf6kziukpWUl4hAnxKqbtxdh5BgAvRoyfaVuot6v+n1qBt1Fr4zJd4gBKK/hsBeLopX+
bWeX2Y+ssVWPvCZirZu4EHwipb3XEmFc1jKE+ouhQl+MHbxGL2oMkPlgGR713M5WiU/rE9BbF14X
yviWdLbzRRQ2zA13ckDswJ8wmzT2YiCfC/Z4E0thmIXtolUGHANjzUwWp/E2LjFa056DU5qy2u5H
ThUAL3QM3xpFuwYmYRNlD0DWvgy5rBYBs/yCwg1iMZfuY6KVz7Ue68vESnuM0IZdtUuTnTEeWCt7
IMe1uJRTKnZ17bOVWgUZ0dC045LSafGiNdBIthyXLOVtlGlbLvoaEDKd/CepVEQYAF/fcIrpMctF
JEbpirxkUUxv2SrGL7ivise4wo1StuVgb0rFBP0Y+XSsNuRK++YC+IfgMCXzg6FrfQ5jJhq+JbUl
6NXVfbzvRPsW9A4hzZR3LlGI5Bc6O9vveYn0AoYOWQdKcj0VHYqeRlfSjUxoEPS8qktkCj2GiqqU
14ZwguuYzdCMX48bGqlmdVUHgHGbOhZ3fP8/EBiGi5Y1DbqKjRNA9+W0J9m3vU1UigxGkIZPcHt0
Fi5bgzSb+YcGydarrqCGR1v0zRiH+6kVjbEmsguTct5rmxhizUaWig7ItU3vQReBqQnDqr4zYRqD
VrUayAytup460jZMRvxWcQpjE4aWfYm3B0J+Urf2LkQFso1jEbwSYQbehZlwQasqWDvBYD9w1GE9
Cdzsm5/Z6rIM3GdI+/2FWmpiw08Ry2qo5L0RGbgBnfqmK+T4Gkw+CQmzAY/nNsZXrjv1m67GwIbJ
0dlUcxeA+goPBZHSs92FxkPUFfU6bskvErULTDFnTzWGlrs2FXNDuJC45QzyxISc3AzlZO2rCjuG
7KW1KtPcfynmBkZa9w4Ufz2+tlCH4PWGf78QNbtb2KlU9rs+vyNUMWCHqxwgAEgg02N28CPFurVh
Xyyt2CL+NOz0n1qQ55jFemyhbRTs/Txsb3JzCC9TMzHvDah3OSLIyVfarzGgVB8OwCZjul11pV5i
SxhU1IittUUt04I0TIrN2OnpvWTGxYSRY6+FH7Cp0/YhIIRlMYD62uuzd5zW3LfQze1tHISsWGwE
90ykCkx/t7tkK2fvewN5UhNUCfvfIv9JaBJmzVSWr3oV48lxJKZgOlNh8lqocaxSqW/9CxrI8ZJq
Cf0c7GMPrVCG0VNcpL/XUVoHwivyqhoWel2U5rrKh4mjWVi71/lYpw95BgAFAoy7CaMmWJaUsB4s
0bwBNmgX6sRWpa70GuBy/902OTWYKYELbKo4JFXdSLxIEu+IFNawb2tbBSkKaXWO+cXOrKeMpHnP
8Itgy64wXVLu+N4IIlWAX/se6q1bQVreth2sF5sjCFKLS7NWD+yhQBQB7/WU1tG+G27aXxhEya+s
SqeQkuT1TeBr6AoU/2eIHv7WVBVxaAb3ZzUYyhNgzOZRIFAMl2ZTVEDc62H2TWv2QsnNYqO6Q4u+
oMqXlpyBH6gVz4iOP1ZBhYuJcA7edDVH2Ee1VmuADdzBLN72xqzaUyjGRWXBmKw2nMezP1JTzzXX
+WpYMFTHoiR1zGOzB3Ngn2TX27GA76I2/CPKaNoS75YuP6/wfigicykSDZAmmAKnx3GwsUr6M+VH
jRsLneBhiA2WjLjTrlTZJWdcBe+V8X/fFSaQmceGq+ADPUBLTHUEyVtvQU21l0mKfNGqATL7DN5F
FQzZpugYXH9+f0LTNZ06nIlR4OjFmaR3C6WISBJMeIoY3lila0p2nEmNM/f3XoP/9/3xQdPCsDGo
GB9gkUz+U1kq9TYbQx0lGt15JjcnBgtBRTOl/HFbjhoVxHQKr1qM1meuP1fi/9u18c/1dZ3+jQX7
E/7g+5bDGBhlqCawBWD9UoCnzQmnvn/8/Hm+1/L+fRGYCkj8MaeQ6C7eX2TQWC6kK+qtlJRu7T5k
FxHYun+dCnUiHpYuZ9eSSVjUbJI/v/Sp8aMLyxQq0s/ZBPT+0q5pDFpA0udcJBlXdDvJtIznQrCt
qETa6wE7sBEk2+rzy5769LFxsDfnzQpLmzkTv3Vy9AYaCNFLdMGrON1rWfeIFHfaBhaj1rUZv59f
7tQHqTPHqAbK85lf8f5yQQ0PGuctl6MD/VCJasPhf1hVhJSemWW0+YEdDxiwkwKBu8lEcyw3d8mX
//tdWlPbf29+jc3Rb38MkrGpICm6oqSsbojlUV+A+VBMIq3ofzBoddfB5WToiJI+fDS2LidCBRBA
2IFxIGWCan7AFPvnD5VXOLevUN+JYzCuMfhGa2RMPb9mAYTdtCII315oRlyeeX+nvkJjdk4RcafT
Ypzf72/DJRlmrDl0L9R9FZSuvvhmOcUZZ9q5axxNapEpBXgixogm5NVk1RvDyc5xZ04NDsYfzj2G
ookJ7v19uG7s9LWQZKKzd70KWlXsRYE6Zur66EuoMMNUeafeBLCQliVyuZ3j6+dmtI+fHh44kxYK
359L6eJoRjOQcuizv2YboApE6yctDxBhdZkqcbVLCDddfj5MPj5XrmfjeWMfJT5a0KqZejICAttm
eF8uDGs82KFmn9lKfPzAdXroBAhR2hUfgT4oR+VUJynpvjJovaYsIg9Q+aUd08v4/HZOXImbmEEz
lmbqOC+OXmFDEM84OsWWqQ2it9Jc6KP9UNbx0+fXOfGaNGDhqsa7Yuaa7aK/D3mrzBLdre0CGoK6
qtMXAu69OAEyWP1DIP6PXhLxcY2FefvbpY68X9SoyGK1uFQLsWBp5EYw8xukBIzRtSuQXdPjaLIf
w2zo18vKoLqv1pX/FXS1sgLyCTqO7u8GU2BDg06nAJ4RBr83wdTspT4ocOgghvqImO+MKtdBpNEt
4lwlV6mQsdzbXTpc90VLBRtoFlI/Ko6Lnuivv1HL//FGZ9Pu0dzMCk5fDwUY7lnzeLFL00khA6nl
mTahfHazXL3WOudutKzoJQNcukdDTf809b/WiCTXNnEA9Kyt3Uyej0ig97SqTDzRPmY+ByPSF728
yO6giZEjR2EpK5IKNkJPvTHS7QV5OboAP1F0i7oT9l6JldYbjMJAHDXhSpeOgHSWxEtKePZlYqBl
ILnT9wbm66Ub9PjYiaw1uEOXpyUUzo1To77afp+fWbROjDX0WhoKDtYstvxHY83Puordx8hziZXm
stNcFMtdPmyDmBhBYlP0fvv54P644YG8jHPZNFwAzEj23g/uqsDI3kMs2rqOxMoZAbWqglpeWnop
N74TyMuQ0usDXsTgjHHqxOfLbg5ktECL8/HMUQdjp4StRVBGNI5fOqvXvlX0ex7Ib4/f/vgmEXgw
G1Hr4D/HW0f6opw3xzbfZl1NV6Sbxe10gki+wG6yQwBGYmpDg31EEErR/vOLn7hP9lU6hmmTkwE6
k/dP2E6ClrJTnmMWQAlc9flDMJAOhfi9/uNtAJ5DvicbhZENb/toQqQG1AQF9qMt0O3ncQTFIRyk
0XWq6388TNluIJhCGMXpQ7WO7qlsiqKFSpmiK4BFNVkUXvX4pu9Na03h6cefPkADDxwya7zTdJE/
bBmjtMwNmFSoIDN9q5RjXtBDpKfTpHpyLmPg4wfIxdjasDUAWC6OeXSAWrTQQgy4nRTjIdSVZ2I9
fsSD/hD01pk9yPwtv9+fcimOpRa3xpx/bCrGBRSNuYIQA/DYSqdW6hZmSh5ZNy2mvNtTpjy3Gz19
RZetqDsL4I6txQrYC6eYr1hp3R6t7EuBlliv4Xq2gFAWYSvOGHo/jn0SDGYH47zr4IpHI9IEL21J
3062Stvux7TbkjpyE1nqmct83NjMl+FoiGGa3cdxQQEl9xBF/OhtpwjlQbFzY1cOrIifj8OPUyVX
QTdK1LjAV3js6x1I1cjxXCTbWqeiRaXHS+P2p51bB5iBNNSdydPHc/bSI0v0fCLlqkwctmmCcwaw
/3768LNJuhz7kq1rjlTBQcuz1pWwUAaXLv2ECW+BcTgVCzKJcDvak4t1rVHtjST6dZfSR14D0HqY
RrO6IzaJULESqOuvbQExVOYFsjjr0RW9tQ1kY56Z40++GMedDz8amP/jF4MkIZxjn9It1el8FY9u
vFcG6pyfv5iTowxdJSUlV8wZA+8fUWZULCNBkW7B1qS4qrqtmiBstuW5XcuJDxb2AHtb5iHQckev
wgQvl5cV2WrQmnSELH64Gyx1WH9+N6dmIHj+lOEcDuU8u/d3M8WqGIJWSRAPQXHtbJapwWzlChDr
axcbf76L5syITJQlA+IAQQnvL4ejweoQXCWcHf0f87OrI+uQ1f7z53d16uMhCd2ykeRyMDgexrB1
cm0q+HjSyHRId4LqixvtB82WYl0HpvO9T8t4R7WwObNUnZrzUMSC3WDx/XjooXSqhjpkyW0QiBuZ
Ky9THKzL+AkDxT3T9ZmrnRrwHHsEg52T5YciGcxbJKTkQ23BPCYbkgjsQy/ic7TKI8TA35MCD9EW
LEewNo8P/G6L5Qm8bbJ12l59ikK1WCsojhd+rHcpvTm7f4w1p4DAJrubasyTazO19U3ooOmcRgLL
zCAul1oF6zvtHfQYLTCyM7sR7eSTt2c2DmkYpOccfS6136hmn2WsNoNBm0BWL5p0Cw9VWbOLbOe5
HahO2GVIEyPXo6ek75odcP1vxGtirCjlvuwzY0cVySVvVCG0LOQ+Ph+VJ741etpsQW1bhzh3vCCm
Nr9DNLDdhgv4o5w0uVZLxJQ+AaPF+PL5tU48Du2XxticC7Xsut9/aEIbVdXAL7idfO2HSsFhmZnq
SzOm+ZZ05nhFqVye2WGc+Og0jY4dOxpWrA9l/a5Ox6EOCm4vNr+EUaB4woxS+hg47vEIVo9V3VdL
1Bjd9s/vVdOoYlKRYoN4PFMaiovckAy+LWe168rqa6rS6YFqfADcOXjCYhGcGW2n3iRbNsoAQuP0
e4xO4lvpZWNUxVZRA0xTWocqIdflocdQt80sDtKf3+GJNYcbZA8FF4Z67a8v9Lc6WObXsFgLHu3Q
BXQuDLiYalVUSx1F7P/kUsSrQH1kw0guyPuBU9pGJLOcI5rmFvkt9rEJr5q0LqJW085MX6fGKMAM
hqfBtPKh/N0hicsnKgPbJmsf2rB4M83qIW14f1FQHRwIEn98OGICw3QBTEjQqTn+ALWBXptopnw7
keexUO3+rm5rWOCWdeZCJyZmSuoqOUNUnrFxzO/zt/dVTsRyqqRPbtPAfA4Gwpqn6uHMkND5GUcb
+nfXmMfob9dwlTiJDQi2WwT92oJUz3LfmI15J1rLX/hpD8TwV6Z9X5fL2Xv7WPS1jViIXm3rkKfc
w1Ra1XlEpxeQ5krRNW0FHz3dRrqs95NhhAfhBoOXj53/1S/VfJNBPMBp7oweMlh/F5qATicVw5yp
1Wh1Y9r3d5ObIbbKNfiFBblpG7WrfJcD1BDcxKnK7rCIIuyzUX0TAnbaaHUz7lITiWanh9lVp9Td
FsLJAya7xuMJz3ko1E0X0O3LLeJEknV6aOsE05qIhZOe0Bo98npMsuvPH++psckqbmuME50+xdH8
aVUNiT8WYxOZ8Es1yBcswDeGrqz1rFj5Sv8PY+8/1qhOfeHsudnsUb7/yHwywzGv9GDMt7IK55rT
dS+SXS/zM5vXjyU/g1opLlj2JpTpjkOUCIQN9XpwcyJ8kgMJ7jWaQed7lTzShCYWSfFaU3wLSJv7
/Gnqp69LlZYnyuH6eEPmllmVlb1JTaQYpy/hoOISqg3lgNFFTVdoZjjjVGZGrGnSVcsUgzDN7ZyJ
vBLdDszIwiSXbaerrbLWpJF7PsJQBly5od9JB9uNX02N3I4ep6YH1T9YulKzqL3Y0xK4wL1IjMZz
JrMiBDIm6EFOJeAVfh8YkeUbng/tlkDBaVNCvlvj6OJ/xzjqhY2MV7Zii6eKHJAzr+LUG7eAn8JH
ocyga/Mj++37jdTGzPKky7eqfBlpYi/GXt0kmuzOTOin5qLfrnO8MerKLkvB3uZbx0xVHO9WC6Qm
XH3+gk8tiIDaOK0K+m0fqERqJcqiMup8S9PJ8UY43xzGn4skRFPfjGdMZycvRr2SM4uLu+34EGHV
TEZ5yreihFbGSXTadAaJtgHqI12ew/edmggsyv6sFlj2Pmx+U9guVoyKalvH9UE0NqRmf3wu0vpN
RmgWQuvMk9ROjYu5580BFgkBGL/342JqiP1xDPZp8ZCGuLyEtnemuifdxDTAY4CvMMpKejCc9Dui
f8PtGGBqCABKXTmBk6xJFBkfbSxB2DP8gIjRz9/0yV+PCZEyEvVb93hi7AefEKOQbU5flW+6GzyF
ortPdXQk/4Pr2AC02VESd3NcKm46ZYS1YGVbTqIl1Rz5ko8KJPq2PrOQntq2UpxCtEEEJBy4o+9Q
710cHGgvtxLPSEhUKdjuQ12Y+9jRbtKieshS90yh4tQA/u2SxxvWmPR4NHpqtlX6YRO0xRtBFIjb
rX1ddGfOHPqp8cuJlCYZ20fOwkfnItk7RjkNdsY0I8ZvMix/gj63vA7GhUf5NvCUkoS8jBl5FVWz
10DRZmVmjeiPyOpng6LKs18RZtwKHAu42vAZhbK+Dya3WBJPnnqZ3zjrwe6dJ8dk1lxYeYNgSmkI
f0/m0mYhfqq9wM4C4n8o1W9x0V4jxSHZgi1f5HT9Ihv1aNVmo7gvEV2z2AvzzGg69RTc2alLiYNx
e9yAJe2taXL8CdupnHaTnLSFVI1nszQvqJk+y2jsz1zw1CuenVkIZWyKrcePvYwBqUH7ybYRoU3o
4lpY0ROn36UOPMpfNLMm/fMP5pd24mhDiGJGcIN8Lhwzj950oIwpXdI021rZ5Hph31r3RghMPddH
8yIs0vSpBMUGfwLl5C+7gBPK9ClrJ7mSSPo2St+jXP/8lzrx3NlszBZoF2PghyOva41OJoWebhOA
B6uwHq2rPGTbOMYFKX0wSLboIl8/v+YR0/JXvQJVAlWfedYGvyDez6AQFabS7/iim8lHykrkzBpB
qr5ufEgiLojYBSMF5aSZrtygDr2RngzOC0Nbfv6L6CfmytkXjhxjxkySmvn+F1GRRliZjDJ8y7FO
a2T2NUR6Oh3QVufmBU/G3sGVNy+wWAGYSikia0pGHzWqw+6213t1PY6++iU02HgLOalf2Bbnm7Bn
SOGYggM/uOYGSf7biBibKbtbGVYcrtAKG7Dd85nqV9mrIWztpRNcEISk3yd6Ptzw2WJCG/kQnkOn
dfepan9V2zE5czA/df90wPCg23OH/rhwRLktThupc/9pMtyHyNK2gzVEz5GmhOvPn/WpSyG8RmuA
G51l42jVpOlUVdm8LLmFHi7LypndfEOZAN1Mg+fPr/XrvR1/aXP1V+f0yjJ4fPzPFSslDSPicADf
mwAIGsaYvSZD2/glyO7cTrULrVD9WzmI/loIJTiQOOJ6UL/KDdmW9d9byf/FN5zBNzC0aPX/myTw
gd6wfEtfcKa+/Q5w+Pvf+T1JmOIp0zScZFSULP7/4jeYf9l8uWi5ZnUcGODfk4TZBgrwvvo8ucPi
/jegW3f+gskIb5TO4T9oh//6v+/OgM3Rn3+HfdJfZ4L4faARZWzNxAB1LvvQjzma0pO4C2MAdgCm
rDH8gmYiL5dWqfd4laas8HCVZHJdVuNtWghMaWnYeWhyXC8nzmyNMjpHvY69kHzaNsP/COoRmr7a
vw3SUnBIhbGH0AgzfSBvc0dRmKEIzlSAEurQv9bkikFe0tVgxZHRAsxo2GSEZKZ5H//KVyUU8joF
fgl1h9xWJH2Nb3h+nNV7mpDJsi18lG92Gi4IZkBS6Fr1xVABMLEyoEPKYMabnl9OoLu2yh0mIX9X
KLW8y1kq9nUTfYMOoHyJwGY/BFVuLQxSujetK4IV5W59QapUeTMNENOyoTl0TvDDZGO6yH3uFP/K
wcA/vHbdJFxCYgMNFuBSU4PkZ1nrUb9QXVksc5W1zyyJRBKVLEnj4OohPGBLH9RFZMsrSY7vohXi
EGnOg9+1V5qPGDwc8nvM9Zgmeuxm4MO6hXD6+R/ZJRnCl/BPv/hM7h4l3mGfjME31/J3FjT/BfPU
IRmTbxiJIesVxf0QKxMumxxzAdGHy8Qp23WrEk0RUZhhCD4Mur/ybcJdEt+afwVShVGseW416Bt7
slUseoqyRmBc3AeNmz4VBGc+aQPeaj1PS68KWPjoLg1zumy1CKHnNFN5i+SWNCFD2UtjrF4KQ6sf
SpejJ5QyoEpzi7gnmOI27c2t70y4hU1Z3YxdWH+BqvBgNVGxKQZQblozBpcWlmziUl1tiwnVQbTk
PKZTqVQLDumPgeEHeyMrGqSlePSoKfntd0Wt6hzsl6ofpEj16yyqQm3Zi3BwFkVYTas0zO91RQOt
VecI1UWh3zWpdNeN4+dLXQ+JY+LLWcRzVFOYYibrsqFyNyjxcWkFpabBzcKaGNNdXUins4proQ3t
xZz91q77WjEfbaOPLozMUr8Z3PiyGSW74CgW0dLkWRZrzal9vHWQDS566JlyV8RkT5hmTHQPOvlJ
wepKaMTPEefJVSpqnQyd3EjwqCFvXQAlI1Ax1u5/TV//O9Gfmegpwc36kv8802+Z56Po93n+n3/l
XykMpvEXCmu69qgtqLJZzNn/SmGw1L+EMW/RmGh/zef/numF+EtQKaN+SysFT6DD8tBgUAv/3//R
nL8okpss//SbNP6fP4tieH8InQE9Dpoofi2LlALEyvP25rdiENWAdIrNQNw3TVlCSJ4yLPmdRrY9
WA0AqqUR1IcQs8r30obXGoaJckc+4rjJDfDwXhoRgJQ2mAMXKqXfpWJpGI2VcmUOEGWbX4ZZC1AP
oWhdEd3GNTujhQKlbleEhMy0ULpWpUakj1AIG8SB0y+jOCHLkTn0bopxkbsBAVlzCORbPikTBVmj
N26UgfyVIU8j1ByN7F/coBxfbHKqo2UQ8tjIepphsnVSgzlIVYhYdNZeWxHGLzLox1uFziyqoXj8
OtZTDcw6SGxUDZN86+pAW4gS4mqAVPIQhNZhptDi7Ewb8QiQYkrObdbnzfh/r7W/XoHFXp23qs6a
eIedxe+vIKPiHSt+Y91PtQ61QW85IogBmJ9bDOCFdZYIexGJzL0t7FJc5hxpSXtHj2x6UaJ2mymE
NIOEqdi5U9uhDMS5K6DYkVWcKM95ZTZ34YjS14zi+Ko1JVDiXwewNPWdTRByPmwbvbjBf/sISdfc
mmV/aQe9eBChILLQ/RFXVvX620dy+/fd/b7DgCd1dNMG3VLeBCdVOhUcnd7fdEnFIGCvkN8bReZ/
Jb6WlIGi0L7QaYPSa7NThfdX77K4lysjzME/ZAoUtQZwxdXQDuprmcyhYK7ZDzfz9LfvC92890f+
W6UL8UZZULsgbLO/QXynXepBRbfA8Z8CYxBkB0fpU5KTAm8B4ttGZG1uQqVWNkmnW8uxqOVqUjPG
tC7/P3fn1twmksXxr+Kad6m4CdDDTNVK8kWO7Rl7knjypJItRSAQiIuE4NPvrwElAjueZDq1Qy21
D1ux55g+dPe5/c//KPt3SqEvGHx3A5BahTJxNrhiUG6SjoyZPqGq6p0fBhApKduhczFwP/lb0B+G
EWbPrkNXt5/q2fMWPoSplfvxVZxCijKDoR9ix91F6maHBw6ld2ftYahm+rh75ekLBXNABnoWm8kE
RsvBOxuqnrE7A+U2celRHoUWUbNSxNqYpi0GxwbwiB7gYohGaeCubzeOHjFIyNcec/y2pe1HdKgH
sFlSEIdkifnElnoROElyNTxs3Xd+miq3M0Fbagfq/ha6PRan0agNRtIp1ld57KyH48KAHqMHI/rv
SaqiUM1dXbgFEXU2EGez5xWMc8nI2zgJLcUrb3VjCE4IhSLU32SWBs07C6AV3U44cqSuKbpTTxPO
68mdpTEmdrbaW70Hh4l79yWvQU9N4A85kOaIrR3xzlDsnZimUmiDinGSJlv63bLcWTCk+XC3NZmO
FqVK9GhFxnYCr65yCSjzL3jTGWK2MzcfNhFSvD08oKP1HpfG59vfhMxZHCkpU/WSAdVQSKy1h4MS
04Bv5Sw1L2fTOVBYcF3lF3s6mcSFGnrX8WCbqueDtKdBurWLkHnYw40AKdF9uW2ZxjrE74KJJI4G
6o26xbwzakv5y4ZF5nEIt+4jw0CiOzdx8WI3jFx28EUC9ylQvMsojHsQKx+G5FD03c68NKA2tc49
27F/tynW5udvH90yg/T1vhLqJ/KwqRUBKBAxrzjaJ+rPIjXpMT9r9qDFW7z5FBa6UR5HvT/XxZAV
qGtNGVPG6r1f5y7EIQMSxlvGSwYO1UjFxbzonMHdSPMBltugOefe3gSTOoyyLb4LFA6fYgNGxZEC
gdI0cqm8/PgCDGFeSU5il7VBa/8EhZfEqrOyHpi/mp5DXXy4i7ar1UVkwvU6SgLumVkEae8AuDk1
Q0HeYjLYeQ5x5OCdmpmzz5w9cjlaHs51Sjg3Znbwrh2Njs+LyLdn76HYhrzTCVbQ3bz97qU9binf
sIgZqSOT2WLyRkv5m9iNCyMbPIQ7eDpGWZLMPrObZ/ZVDIH3Rxgbitv1ITn87luCgQKCehdyhsCc
2lt3fx0KnpgM6DWlzyyelowwqbkZXg4zAzc0jnYBQ9MS98bSWH8G9xgTMZMs+YwDDhnb0DWeEqj3
pkpRwJTkRZBy7IzMg3Zmb8Xj7ZrZeweNkCvd7WaPGoTs9D737OvEjbTzGUHvhZ8wUXbrO4dPDDUs
LuNsP5u6EF+B8LMCe5xq2mGplowa2sbAu062mnpe6NvhhR56T+oGLnJHD4jpvO126hsUiBnvGU/x
CSB3FUdvNuytFvEMov1z0+MfdzAmw6URaw++luS7yQbo0HioRc5CYXz5xVpxZp/Yeful4VM/znn7
qb+2Ztc7NyhuDUWMSaLxV3ugYslEeG3jvVcYjLYiJjRdWmnXjLffQHe+cg5TD1T1OGbcw7hn+NqN
c8iSCWC6wx2RNLbk7Y2Ak8iXbuwEsgD4DKrNnS3cwZbbwF292cHpGT04vkpLbq5wwEbl3exnh+gy
Z+b9mIHDLMBhCsIFrth2bpLLuy9Ab3lwAiRTpxdZRDE0xEUu8IdRvlFcqHl7a3J0q1VwwYg3cVxB
Yj9RI/Q/cP2nT1pm7Jc71zJ6E0CEG2uSODaI7wB37HbPAMxzGtaBcB6MgGDb1/2Zf+GrjE2gmWCz
u7JXvcMkL7bW9GBsPhyyUNV5S+BB457mXgouoXvyqnk2SXbKbhENMCvsL2fCQGRAKGqRQIABC5Ll
i1GWiviucK2lj8nBuyIKZ4reAYZyOPLzRxUC4Ike2jqcULmzYWY7B4IIn826pqV/TPul9QzYFt7u
/d67piTBINChn/dGpl5El0WkOeEtU4ANJtTvPOcjdsD9mPTWvg+9UqYTL7qb9WNCIQlGDy8yV1d0
VSiH8UbnNhgl0AwueqQnH3r7TDg4MCFfKzaJhF6yMSdxIYiWdQfAY3pwNgrL9bjy/DBBUQBR+P8Q
b2G2c0crZmMbLitj4hcqqHrwq1PYeLA6hbrWn2hSdfPxSjW33rseJEe4P8P8HsrhENjsKlKeKMJy
r6YRGficm10Z9wIyCKtB5l3nbARbNIxAfG3k4NFoYtH/gouBRoFc2RX3kGzPQDDS1fQQ41tepYIZ
dpQkRfGZSRf21N4VPfjDN7Aw2OZMBdoSF9k5vRaQQSWmy3DxeGaNCHvZhYzsoEuccZ+TdDjweqPB
dqZMXL3wP1vgYUh4QHg+wG1l3qrHjGA/8zZ3lrVx/oCmMRtjDIZohp7N+/Ig/d9EtvVCRIrxPEjd
NL/fLeP8YZnAT/Qlpyd+Wk7uec/Q+n/yS8fk4OuCzpal0L+JlcHA6eQJG7Fy+VLlG78lw5/zzrvF
8tdfDKUPTmQg5vXRv8eD7+eHwar+cc/W+vyEYNqglCYe7B9/8ERJ31LD2yus9Pn27zRW8ByCAhPf
ARr04DT8L2H536ODloSvOtCHfVD+9PvRNnRc46kOhsxpZEqbqQ/pwBcPJYd/RQfzBaWGiZuksfuc
nupAJ2XRzpr86E5AC7T4WhY+ZqUFwuZTLQBL7DMnj34ns/pT//s98M31qwyaxBx/zy5oyTjZBWT0
yWtTM653AQJP1z+0+wBOQeeDNC8f3PBu7QL8EtJWckqw+mC/TSoh5EbE01IC2Ns+UyY1C/eo0kLX
lFAVH+WUQMYPYo8BtNyvK0ER01mB6Jr/1mXY2sSVtZgufv1FB+hX7cuqFvXFvPyISdBYPtgCGEeq
5bcvAsXqYzFIIpE+K5+u7QEMo8hRyG0CvjEN9IYgeCif1kkYogQCc4psVqWE6uh16FIEkKDJagH3
gDYr0ZT2uhYsq09CG86tE/ehW5ciHUj2TzgRlAVoqjHqE4FaG6ZBZy/Q40TPR6Wm7hlIQDmye0FX
+mTLWaZZX/3s+IYWVPYK7WXAf6oT0Tk3iRYOUcKXuxdwA0zG5yqM+iif1u041PqAshjaqdVaosDT
sRMBrFlWCdTYMJEgImpfqBU1CCWADhYInUpJ3VMCKT3ZA2EYeIT0N2pHX6ilBVU1+uaA4MlWOrd+
0fQuexQMs09GTBUdidVXbptIo88QFV2hZNC9M2BUn+Sfu0m60RegaM3GwpQPVub0OizjJZMZpBS0
S/VUh65LDgKfRloLRI0DqPagXKm08OIMmJwBeA9AQXdTC1S15PeC2mcykCAeq41C+ySgJbKouEm0
aIoHLXXLKMB7J+0mgYmDFg3cRcsxsExySLRXfcmfVBdvl06CReeBpE00SI/QqEJpoPrE7UyapfZp
+bLBW9U2s3taAM4oaxN08oUa7RV2vUiRkTi9FW3yB6JnG5xJZTO65ypT6JbVgmb3qRFB53D0lNta
wD8Cr27glFda6N5eoNYvqwUspOjSJldUGUCROz7dC3QH9lViaNDcnbONwPht6fUP++TRAI0fveDW
+m2zj/dA+oAu+vLpnpdogK2UvRd1JueBLqIpoL4YW7tAU0gnEViSUuuaVQT8rVSmWsJPtPumAYYc
/phq/S0/0VbIqFJgof2to3eBPrBFMVwqbDYYhQgrJmqo02UtLajlLoBR8RhXd/FGkN4LpNPA04la
Uh0ztO3CsM/FA1P3F/PZtRMh2q2kPSX2Au4ytz5Mr+XTuhEUipKmiK2O5rNrWmC3CrI/qROBp8R2
14ArvB4z2DpaoiQJK25X7wVyCLK3IzkUKEGIwI5p9Pa9wF6gyo2Sage9Q1EDryy9fIICC5Q6nZPV
R+baO3WRLNxpnU2iiq6kjkWM1AJla858fRtw3RDjWF0E6PN0+TatWaKncCj8KPF0LloA1igIqqRu
AmEVMP/DAWCg8sHxPNWCRRqRgAr4e6WEDuIPwNPL3ofsBRAWKMGsM0kvbaNFCoUid2djJhU6Stm9
YPUFTyh4nNdLTapCAG1QxoDoo2s3Aok0QZYvdRZ0ogX4gokbv3rDp2cBb5n+alwHbp/y6dyNQNuR
dC5Jp7gsWo2oNFWrbN2LFjEFSXeIO+ufdzF/IB85AkSAPs8QLHPl04qfrQEZN7i3cB86uhfwlgVn
gdyJAIhA24UgNa9W2fKQLGIGmwQ71KGVljp3IqiRiHZrKS2QXSW1TJzMpPTyadlIMHqkECxAK7Uj
1TktCHCApBJMCmrEBJbCLJfywQScXo5wMvXpUoAfVHBMoe8OOcsQ5NU+rEQqZdC3gfaQL6xDotYm
IKEGwSDDZkhBl0/3kgivtLf+KFCzhOCRYlcEy0bz83NVQLovgtNuLl9w1Vem6p9vAkPr832B6uIx
l0/bNlKHEazdlBy7dgZwaWRXL+or1KpA4bbMAHsf9ghhKus0Y+dugFc4PH5064NRphsOiPIRg8si
T08AHgEkcdCCw6JRPp2LmkljCBIwKVsovEPo4pg99bWafKoFombaBQEhMUKhfDqnBTI6okFZSguG
3oetD0t3tPht71CkVtgqZZu3UENVzumSSaTcWr2UxG1o9Jl3w9wl0Zh4ugnIHNEuakKKXidZO7cJ
wAZJe0TGAIvPfQjVQ3XgW7eiOexrVGHpfe9q64YYVyl5EgTugpHDpNNb/iDoXDgV6d0GplY+P5Ay
+I5z8qUbagwfxaLsg3KXyWvtUt/6hWP/z8uf170/AtMuGnwavyjaoqq//bVN6rcGJL50fE9+eHSE
y79T/+f1Al/+6cbfOq7q+I9X7jKex89OXv4gr1/zbr6hl+o//vxpvpmfNuZUFv/rm/z6S+M9Tz78
3whOvJZccXSk5cZuEQZNwUMBhpIX7M2DZJ4cJYnPqJawU1nJ47nvfg4hq268ddX5Ii079MN4vghP
37pqJ5GXHATL59R93qUN4WUBQVb4G9xn3+4i/GJ639p3x1azs/Dz2TikrfSpqfbq7pJ9/wu07i4a
35Pkn0CfyEq+XIbxqvnKdeVOVvK3WYgkVT5dzJ3GBlQroLLsC0/heQwY2HtUankicUUJnqRFBwt3
3rpFKvSMtOQwa26LqpdDVuy7l3dT1T8oLRgBu2cvP+q0VHLl8MuKvgl3kI201Vx1dcjKvp27wbLx
zpVnJi83zv15sDgVXeNM5UUnyfzZ2SXLNG3s6TrDIC3ffWZuybzZaFwVPOVFYwuSMG3s7BqOLy87
SVz+B59/Q+kVsPNnSId1uy1a9BFIiw4DaL1bKimrabKS75ZP8bzlPdUJaXnR+3nTbhHXCkS9vODs
7Gq+2SaO26Q0rePmnyH/ehkny8ZNVZeyf4bw2+XBfW6YMYT/DIt+t8zOPoWxd9RxGR/oRHjHf3iV
MuG7nJ07WMacs/E8DrGUzZ1YVXGkFVP+gcnca5/9ClIlK/535gIdtVCqpWKHkBbr+Xgkzaim7q+V
Fh0vV20uhxJvKiv4j2UQwGCzn7fChLojVlb8gxMulmfT5IVtq7oIZMX/KXgnX92IdYH95/yBlxtR
iP8J/uB7tL9MkmXDpajLP7Kv/n55aEaVdfeOrNwP6dw5PTw1oYas2I/LmBG8jZiPbKVI+klLdols
Wtu7Rh7Iin6cY3eCVdo8mjUIWFr4MknPPr728hXUWlq+mzyHQeI2PDe9gidJy85D+FdWx48nLtma
b+Ftya9lmr7UZl/mn47UOK/9Z83kmviNZ385j3/7LwAAAP//</cx:binary>
              </cx:geoCache>
            </cx:geography>
          </cx:layoutPr>
          <cx:valueColors>
            <cx:minColor>
              <a:srgbClr val="083068"/>
            </cx:minColor>
            <cx:midColor>
              <a:srgbClr val="9ECAE1"/>
            </cx:midColor>
            <cx:maxColor>
              <a:srgbClr val="DEEBF7"/>
            </cx:maxColor>
          </cx:valueColors>
          <cx:valueColorPositions count="3"/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4.xml"/><Relationship Id="rId7" Type="http://schemas.openxmlformats.org/officeDocument/2006/relationships/image" Target="../media/image1.emf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microsoft.com/office/2014/relationships/chartEx" Target="../charts/chartEx2.xml"/><Relationship Id="rId5" Type="http://schemas.openxmlformats.org/officeDocument/2006/relationships/chart" Target="../charts/chart16.xml"/><Relationship Id="rId10" Type="http://schemas.openxmlformats.org/officeDocument/2006/relationships/chart" Target="../charts/chart19.xml"/><Relationship Id="rId4" Type="http://schemas.openxmlformats.org/officeDocument/2006/relationships/chart" Target="../charts/chart15.xml"/><Relationship Id="rId9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152400</xdr:rowOff>
    </xdr:from>
    <xdr:to>
      <xdr:col>16</xdr:col>
      <xdr:colOff>215900</xdr:colOff>
      <xdr:row>22</xdr:row>
      <xdr:rowOff>63500</xdr:rowOff>
    </xdr:to>
    <xdr:graphicFrame macro="">
      <xdr:nvGraphicFramePr>
        <xdr:cNvPr id="3" name="76">
          <a:extLst>
            <a:ext uri="{FF2B5EF4-FFF2-40B4-BE49-F238E27FC236}">
              <a16:creationId xmlns:a16="http://schemas.microsoft.com/office/drawing/2014/main" id="{0AB19B56-973A-D260-F03E-BB3355355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0.78701</cdr:x>
      <cdr:y>0.22525</cdr:y>
    </cdr:from>
    <cdr:to>
      <cdr:x>0.99023</cdr:x>
      <cdr:y>0.28121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CE3A26F-FD17-11B2-38EF-751F281C62E8}"/>
            </a:ext>
          </a:extLst>
        </cdr:cNvPr>
        <cdr:cNvSpPr txBox="1"/>
      </cdr:nvSpPr>
      <cdr:spPr>
        <a:xfrm xmlns:a="http://schemas.openxmlformats.org/drawingml/2006/main">
          <a:off x="5114926" y="996950"/>
          <a:ext cx="13208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Dictrict of Columbia</a:t>
          </a:r>
        </a:p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0.3061</cdr:x>
      <cdr:y>0.30477</cdr:y>
    </cdr:from>
    <cdr:to>
      <cdr:x>0.47318</cdr:x>
      <cdr:y>0.36503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2F10A513-917A-035C-14E2-866A3C9B4C14}"/>
            </a:ext>
          </a:extLst>
        </cdr:cNvPr>
        <cdr:cNvSpPr txBox="1"/>
      </cdr:nvSpPr>
      <cdr:spPr>
        <a:xfrm xmlns:a="http://schemas.openxmlformats.org/drawingml/2006/main">
          <a:off x="2659057" y="1207635"/>
          <a:ext cx="1451390" cy="238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ysClr val="windowText" lastClr="000000"/>
              </a:solidFill>
            </a:rPr>
            <a:t>South Dacota</a:t>
          </a:r>
          <a:endParaRPr lang="ru-RU" sz="11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0.48315</cdr:x>
      <cdr:y>0.5911</cdr:y>
    </cdr:from>
    <cdr:to>
      <cdr:x>0.59453</cdr:x>
      <cdr:y>0.6571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CE56C77-1DF9-D18F-B419-F8DA332D38C7}"/>
            </a:ext>
          </a:extLst>
        </cdr:cNvPr>
        <cdr:cNvSpPr txBox="1"/>
      </cdr:nvSpPr>
      <cdr:spPr>
        <a:xfrm xmlns:a="http://schemas.openxmlformats.org/drawingml/2006/main">
          <a:off x="3140076" y="2616200"/>
          <a:ext cx="7239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Montana</a:t>
          </a:r>
          <a:endParaRPr lang="ru-RU" sz="1100" kern="1200"/>
        </a:p>
      </cdr:txBody>
    </cdr:sp>
  </cdr:relSizeAnchor>
  <cdr:relSizeAnchor xmlns:cdr="http://schemas.openxmlformats.org/drawingml/2006/chartDrawing">
    <cdr:from>
      <cdr:x>0.17831</cdr:x>
      <cdr:y>0.41463</cdr:y>
    </cdr:from>
    <cdr:to>
      <cdr:x>0.319</cdr:x>
      <cdr:y>0.48924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3734081A-7365-BF2E-58B5-F368054E1106}"/>
            </a:ext>
          </a:extLst>
        </cdr:cNvPr>
        <cdr:cNvSpPr txBox="1"/>
      </cdr:nvSpPr>
      <cdr:spPr>
        <a:xfrm xmlns:a="http://schemas.openxmlformats.org/drawingml/2006/main">
          <a:off x="1158876" y="1835150"/>
          <a:ext cx="9144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ysClr val="windowText" lastClr="000000"/>
              </a:solidFill>
            </a:rPr>
            <a:t>North Dakota</a:t>
          </a:r>
          <a:endParaRPr lang="ru-RU" sz="11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0.15584</cdr:x>
      <cdr:y>0.11908</cdr:y>
    </cdr:from>
    <cdr:to>
      <cdr:x>0.29165</cdr:x>
      <cdr:y>0.17791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4EE0E377-D3DE-B01D-CBA9-6A6BD9BFC96B}"/>
            </a:ext>
          </a:extLst>
        </cdr:cNvPr>
        <cdr:cNvSpPr/>
      </cdr:nvSpPr>
      <cdr:spPr>
        <a:xfrm xmlns:a="http://schemas.openxmlformats.org/drawingml/2006/main">
          <a:off x="1012826" y="527050"/>
          <a:ext cx="882650" cy="2603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ysClr val="windowText" lastClr="000000"/>
              </a:solidFill>
            </a:rPr>
            <a:t>Inefficient</a:t>
          </a:r>
          <a:endParaRPr lang="ru-RU" sz="12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0.68295</cdr:x>
      <cdr:y>0.11765</cdr:y>
    </cdr:from>
    <cdr:to>
      <cdr:x>0.87885</cdr:x>
      <cdr:y>0.17647</cdr:y>
    </cdr:to>
    <cdr:sp macro="" textlink="">
      <cdr:nvSpPr>
        <cdr:cNvPr id="11" name="Rectangle 10">
          <a:extLst xmlns:a="http://schemas.openxmlformats.org/drawingml/2006/main">
            <a:ext uri="{FF2B5EF4-FFF2-40B4-BE49-F238E27FC236}">
              <a16:creationId xmlns:a16="http://schemas.microsoft.com/office/drawing/2014/main" id="{A822F966-72D4-C0DB-DCC0-866FF8457260}"/>
            </a:ext>
          </a:extLst>
        </cdr:cNvPr>
        <cdr:cNvSpPr/>
      </cdr:nvSpPr>
      <cdr:spPr>
        <a:xfrm xmlns:a="http://schemas.openxmlformats.org/drawingml/2006/main">
          <a:off x="4438650" y="520700"/>
          <a:ext cx="1273176" cy="2603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ysClr val="windowText" lastClr="000000"/>
              </a:solidFill>
            </a:rPr>
            <a:t>System</a:t>
          </a:r>
          <a:r>
            <a:rPr lang="en-US" sz="1200" kern="1200" baseline="0">
              <a:solidFill>
                <a:sysClr val="windowText" lastClr="000000"/>
              </a:solidFill>
            </a:rPr>
            <a:t> Pressure</a:t>
          </a:r>
          <a:endParaRPr lang="ru-RU" sz="12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0.13416</cdr:x>
      <cdr:y>0.70778</cdr:y>
    </cdr:from>
    <cdr:to>
      <cdr:x>0.39943</cdr:x>
      <cdr:y>0.77952</cdr:y>
    </cdr:to>
    <cdr:sp macro="" textlink="">
      <cdr:nvSpPr>
        <cdr:cNvPr id="12" name="Rectangle 11">
          <a:extLst xmlns:a="http://schemas.openxmlformats.org/drawingml/2006/main">
            <a:ext uri="{FF2B5EF4-FFF2-40B4-BE49-F238E27FC236}">
              <a16:creationId xmlns:a16="http://schemas.microsoft.com/office/drawing/2014/main" id="{A822F966-72D4-C0DB-DCC0-866FF8457260}"/>
            </a:ext>
          </a:extLst>
        </cdr:cNvPr>
        <cdr:cNvSpPr/>
      </cdr:nvSpPr>
      <cdr:spPr>
        <a:xfrm xmlns:a="http://schemas.openxmlformats.org/drawingml/2006/main">
          <a:off x="1165449" y="2804527"/>
          <a:ext cx="2304347" cy="28426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</a:rPr>
            <a:t>Underused</a:t>
          </a:r>
          <a:r>
            <a:rPr lang="en-US" sz="1200">
              <a:solidFill>
                <a:sysClr val="windowText" lastClr="000000"/>
              </a:solidFill>
            </a:rPr>
            <a:t> but Efficient</a:t>
          </a:r>
          <a:endParaRPr lang="ru-RU" sz="12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0.69663</cdr:x>
      <cdr:y>0.66284</cdr:y>
    </cdr:from>
    <cdr:to>
      <cdr:x>0.9619</cdr:x>
      <cdr:y>0.73458</cdr:y>
    </cdr:to>
    <cdr:sp macro="" textlink="">
      <cdr:nvSpPr>
        <cdr:cNvPr id="13" name="Rectangle 12">
          <a:extLst xmlns:a="http://schemas.openxmlformats.org/drawingml/2006/main">
            <a:ext uri="{FF2B5EF4-FFF2-40B4-BE49-F238E27FC236}">
              <a16:creationId xmlns:a16="http://schemas.microsoft.com/office/drawing/2014/main" id="{329AD397-779F-1900-DE92-5E96316DE0EA}"/>
            </a:ext>
          </a:extLst>
        </cdr:cNvPr>
        <cdr:cNvSpPr/>
      </cdr:nvSpPr>
      <cdr:spPr>
        <a:xfrm xmlns:a="http://schemas.openxmlformats.org/drawingml/2006/main">
          <a:off x="4527550" y="2933700"/>
          <a:ext cx="1724026" cy="3175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Efficient / High Turnover</a:t>
          </a:r>
          <a:endParaRPr lang="ru-RU" sz="1200" b="0" kern="1200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13</xdr:row>
      <xdr:rowOff>101600</xdr:rowOff>
    </xdr:from>
    <xdr:to>
      <xdr:col>3</xdr:col>
      <xdr:colOff>730250</xdr:colOff>
      <xdr:row>31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43739-9CCE-689D-8A4C-A6A54F00A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2</xdr:row>
      <xdr:rowOff>82550</xdr:rowOff>
    </xdr:from>
    <xdr:to>
      <xdr:col>9</xdr:col>
      <xdr:colOff>342899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767DB0-5DBB-699A-BA5F-6D1630A80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568325</xdr:colOff>
      <xdr:row>15</xdr:row>
      <xdr:rowOff>127000</xdr:rowOff>
    </xdr:from>
    <xdr:to>
      <xdr:col>4</xdr:col>
      <xdr:colOff>171450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ADFED-9E5F-1BD3-D616-847D5A2B4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206375</xdr:colOff>
      <xdr:row>15</xdr:row>
      <xdr:rowOff>120650</xdr:rowOff>
    </xdr:from>
    <xdr:to>
      <xdr:col>7</xdr:col>
      <xdr:colOff>3032125</xdr:colOff>
      <xdr:row>30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F4391-8573-AF56-B823-C888102A8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193674</xdr:colOff>
      <xdr:row>1</xdr:row>
      <xdr:rowOff>171450</xdr:rowOff>
    </xdr:from>
    <xdr:to>
      <xdr:col>14</xdr:col>
      <xdr:colOff>215899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E6E2B8-753E-5D3C-02D4-E7B913A42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0.63689</cdr:x>
      <cdr:y>0.14433</cdr:y>
    </cdr:from>
    <cdr:to>
      <cdr:x>0.87666</cdr:x>
      <cdr:y>0.20103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3C43576A-F3EA-296D-FFD0-F1F94512144F}"/>
            </a:ext>
          </a:extLst>
        </cdr:cNvPr>
        <cdr:cNvSpPr/>
      </cdr:nvSpPr>
      <cdr:spPr>
        <a:xfrm xmlns:a="http://schemas.openxmlformats.org/drawingml/2006/main">
          <a:off x="3508376" y="533400"/>
          <a:ext cx="1320800" cy="2095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kern="1200">
              <a:solidFill>
                <a:sysClr val="windowText" lastClr="000000"/>
              </a:solidFill>
            </a:rPr>
            <a:t>District</a:t>
          </a:r>
          <a:r>
            <a:rPr lang="en-US" kern="1200" baseline="0">
              <a:solidFill>
                <a:sysClr val="windowText" lastClr="000000"/>
              </a:solidFill>
            </a:rPr>
            <a:t> of Columbia</a:t>
          </a:r>
          <a:endParaRPr lang="ru-RU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0.82709</cdr:x>
      <cdr:y>0.36082</cdr:y>
    </cdr:from>
    <cdr:to>
      <cdr:x>0.98156</cdr:x>
      <cdr:y>0.42784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27F36A0-C0A3-5665-305B-6C07A0490A1D}"/>
            </a:ext>
          </a:extLst>
        </cdr:cNvPr>
        <cdr:cNvSpPr/>
      </cdr:nvSpPr>
      <cdr:spPr>
        <a:xfrm xmlns:a="http://schemas.openxmlformats.org/drawingml/2006/main">
          <a:off x="4556126" y="1333500"/>
          <a:ext cx="85090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kern="1200">
              <a:solidFill>
                <a:sysClr val="windowText" lastClr="000000"/>
              </a:solidFill>
            </a:rPr>
            <a:t>Puerto</a:t>
          </a:r>
          <a:r>
            <a:rPr lang="en-US" kern="1200" baseline="0">
              <a:solidFill>
                <a:sysClr val="windowText" lastClr="000000"/>
              </a:solidFill>
            </a:rPr>
            <a:t> Rico</a:t>
          </a:r>
          <a:endParaRPr lang="ru-RU" kern="1200">
            <a:solidFill>
              <a:sysClr val="windowText" lastClr="000000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15</xdr:row>
      <xdr:rowOff>177801</xdr:rowOff>
    </xdr:from>
    <xdr:to>
      <xdr:col>6</xdr:col>
      <xdr:colOff>584200</xdr:colOff>
      <xdr:row>32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169B7D-C6EA-DCD3-3259-1811F182C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574674</xdr:colOff>
      <xdr:row>16</xdr:row>
      <xdr:rowOff>0</xdr:rowOff>
    </xdr:from>
    <xdr:to>
      <xdr:col>17</xdr:col>
      <xdr:colOff>196849</xdr:colOff>
      <xdr:row>31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71A1E9-9E43-C88E-9E3E-390653BBF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327024</xdr:colOff>
      <xdr:row>3</xdr:row>
      <xdr:rowOff>95250</xdr:rowOff>
    </xdr:from>
    <xdr:to>
      <xdr:col>16</xdr:col>
      <xdr:colOff>95249</xdr:colOff>
      <xdr:row>25</xdr:row>
      <xdr:rowOff>152400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F713BBF-282B-F324-6923-FB3C42EA91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6324" y="647700"/>
              <a:ext cx="5864225" cy="410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12</xdr:row>
      <xdr:rowOff>6350</xdr:rowOff>
    </xdr:from>
    <xdr:to>
      <xdr:col>14</xdr:col>
      <xdr:colOff>38100</xdr:colOff>
      <xdr:row>26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AAE412-E6D6-FE5D-FC6F-92EDE628C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19050</xdr:rowOff>
    </xdr:from>
    <xdr:to>
      <xdr:col>6</xdr:col>
      <xdr:colOff>301626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F32E6C-448C-5AA9-B1F8-8C4EA1D0A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469900</xdr:colOff>
      <xdr:row>0</xdr:row>
      <xdr:rowOff>0</xdr:rowOff>
    </xdr:from>
    <xdr:to>
      <xdr:col>17</xdr:col>
      <xdr:colOff>241300</xdr:colOff>
      <xdr:row>64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73E11D-E25B-D156-E225-E74348177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269168</xdr:colOff>
      <xdr:row>23</xdr:row>
      <xdr:rowOff>67029</xdr:rowOff>
    </xdr:from>
    <xdr:to>
      <xdr:col>8</xdr:col>
      <xdr:colOff>74964</xdr:colOff>
      <xdr:row>36</xdr:row>
      <xdr:rowOff>112007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DEE0D5-755B-48E5-9C17-413B90242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256118</xdr:colOff>
      <xdr:row>23</xdr:row>
      <xdr:rowOff>53623</xdr:rowOff>
    </xdr:from>
    <xdr:to>
      <xdr:col>15</xdr:col>
      <xdr:colOff>319617</xdr:colOff>
      <xdr:row>36</xdr:row>
      <xdr:rowOff>86255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E3A818-8199-4869-A208-16E9B8D4F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192618</xdr:colOff>
      <xdr:row>37</xdr:row>
      <xdr:rowOff>129067</xdr:rowOff>
    </xdr:from>
    <xdr:to>
      <xdr:col>8</xdr:col>
      <xdr:colOff>42334</xdr:colOff>
      <xdr:row>52</xdr:row>
      <xdr:rowOff>21167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D1FF316-F47D-4F7E-9E63-C93FE577D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207433</xdr:colOff>
      <xdr:row>37</xdr:row>
      <xdr:rowOff>152399</xdr:rowOff>
    </xdr:from>
    <xdr:to>
      <xdr:col>15</xdr:col>
      <xdr:colOff>353281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E2D141-8DB5-4B77-8337-49B6DED01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232833</xdr:colOff>
      <xdr:row>57</xdr:row>
      <xdr:rowOff>32608</xdr:rowOff>
    </xdr:from>
    <xdr:to>
      <xdr:col>9</xdr:col>
      <xdr:colOff>183445</xdr:colOff>
      <xdr:row>74</xdr:row>
      <xdr:rowOff>3528</xdr:rowOff>
    </xdr:to>
    <xdr:graphicFrame macro="">
      <xdr:nvGraphicFramePr>
        <xdr:cNvPr id="11" name="76">
          <a:extLst>
            <a:ext uri="{FF2B5EF4-FFF2-40B4-BE49-F238E27FC236}">
              <a16:creationId xmlns:a16="http://schemas.microsoft.com/office/drawing/2014/main" id="{8D4311AA-7D12-4AA4-92C2-C2593F7FD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587376</xdr:colOff>
      <xdr:row>8</xdr:row>
      <xdr:rowOff>179035</xdr:rowOff>
    </xdr:from>
    <xdr:to>
      <xdr:col>18</xdr:col>
      <xdr:colOff>842258</xdr:colOff>
      <xdr:row>10</xdr:row>
      <xdr:rowOff>179917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A1197E-9198-8C54-144F-BE3DECCA9561}"/>
            </a:ext>
          </a:extLst>
        </xdr:cNvPr>
        <xdr:cNvSpPr/>
      </xdr:nvSpPr>
      <xdr:spPr>
        <a:xfrm>
          <a:off x="9755189" y="2084035"/>
          <a:ext cx="2350382" cy="366007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/>
            <a:t>🟢</a:t>
          </a:r>
          <a:r>
            <a:rPr lang="en-US" sz="1400"/>
            <a:t>  </a:t>
          </a:r>
          <a:r>
            <a:rPr lang="en-US" sz="1400" b="1"/>
            <a:t>Highest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Turnover States</a:t>
          </a:r>
          <a:endParaRPr lang="ru-RU" sz="1400" b="1">
            <a:effectLst/>
          </a:endParaRPr>
        </a:p>
        <a:p>
          <a:pPr algn="l"/>
          <a:endParaRPr lang="ru-RU" sz="1400"/>
        </a:p>
        <a:p>
          <a:pPr algn="l"/>
          <a:endParaRPr lang="ru-RU" sz="1400"/>
        </a:p>
      </xdr:txBody>
    </xdr:sp>
    <xdr:clientData/>
  </xdr:twoCellAnchor>
  <xdr:twoCellAnchor>
    <xdr:from>
      <xdr:col>19</xdr:col>
      <xdr:colOff>102306</xdr:colOff>
      <xdr:row>8</xdr:row>
      <xdr:rowOff>180800</xdr:rowOff>
    </xdr:from>
    <xdr:to>
      <xdr:col>20</xdr:col>
      <xdr:colOff>1260929</xdr:colOff>
      <xdr:row>11</xdr:row>
      <xdr:rowOff>253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A252903-59B7-49E4-BD33-16883FA273BA}"/>
            </a:ext>
          </a:extLst>
        </xdr:cNvPr>
        <xdr:cNvSpPr/>
      </xdr:nvSpPr>
      <xdr:spPr>
        <a:xfrm>
          <a:off x="12729735" y="2067657"/>
          <a:ext cx="2718908" cy="363739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400"/>
            <a:t>🔴 </a:t>
          </a:r>
          <a:r>
            <a:rPr lang="en-US" sz="1400"/>
            <a:t>   </a:t>
          </a:r>
          <a:r>
            <a:rPr lang="en-US" sz="1400" b="1"/>
            <a:t>Lowest Turnover States</a:t>
          </a:r>
        </a:p>
        <a:p>
          <a:pPr algn="l"/>
          <a:endParaRPr lang="ru-RU" sz="1400"/>
        </a:p>
      </xdr:txBody>
    </xdr:sp>
    <xdr:clientData/>
  </xdr:twoCellAnchor>
  <xdr:twoCellAnchor>
    <xdr:from>
      <xdr:col>16</xdr:col>
      <xdr:colOff>44449</xdr:colOff>
      <xdr:row>20</xdr:row>
      <xdr:rowOff>31750</xdr:rowOff>
    </xdr:from>
    <xdr:to>
      <xdr:col>20</xdr:col>
      <xdr:colOff>987878</xdr:colOff>
      <xdr:row>36</xdr:row>
      <xdr:rowOff>129016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5D8EAE9D-5AEB-4C4F-B173-F8C22277DF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8049" y="4267200"/>
              <a:ext cx="5553529" cy="3094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403311</xdr:colOff>
          <xdr:row>57</xdr:row>
          <xdr:rowOff>25474</xdr:rowOff>
        </xdr:from>
        <xdr:to>
          <xdr:col>17</xdr:col>
          <xdr:colOff>93034</xdr:colOff>
          <xdr:row>77</xdr:row>
          <xdr:rowOff>14111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09512A35-D596-7D93-C038-0DC5AA77F0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LOS1'!$I$29:$L$46" spid="_x0000_s1081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5927811" y="11085057"/>
              <a:ext cx="4822640" cy="358697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0</xdr:col>
      <xdr:colOff>292806</xdr:colOff>
      <xdr:row>8</xdr:row>
      <xdr:rowOff>137584</xdr:rowOff>
    </xdr:from>
    <xdr:to>
      <xdr:col>8</xdr:col>
      <xdr:colOff>109361</xdr:colOff>
      <xdr:row>22</xdr:row>
      <xdr:rowOff>67027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A02D1-E765-46AE-9F1E-4359A03AE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296332</xdr:colOff>
      <xdr:row>8</xdr:row>
      <xdr:rowOff>126999</xdr:rowOff>
    </xdr:from>
    <xdr:to>
      <xdr:col>15</xdr:col>
      <xdr:colOff>303388</xdr:colOff>
      <xdr:row>22</xdr:row>
      <xdr:rowOff>35278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E7588B-0CAA-4622-9B66-62A3F9E79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575227</xdr:colOff>
      <xdr:row>38</xdr:row>
      <xdr:rowOff>8264</xdr:rowOff>
    </xdr:from>
    <xdr:to>
      <xdr:col>20</xdr:col>
      <xdr:colOff>1035050</xdr:colOff>
      <xdr:row>53</xdr:row>
      <xdr:rowOff>161169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64C811-A44F-4EE9-9987-00058FFD1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203200</xdr:colOff>
      <xdr:row>52</xdr:row>
      <xdr:rowOff>133350</xdr:rowOff>
    </xdr:from>
    <xdr:to>
      <xdr:col>15</xdr:col>
      <xdr:colOff>400050</xdr:colOff>
      <xdr:row>55</xdr:row>
      <xdr:rowOff>141112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32CE148-8389-498F-B7F7-A8FD4715D74E}"/>
            </a:ext>
          </a:extLst>
        </xdr:cNvPr>
        <xdr:cNvSpPr/>
      </xdr:nvSpPr>
      <xdr:spPr>
        <a:xfrm>
          <a:off x="203200" y="10448572"/>
          <a:ext cx="9298517" cy="558096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ysClr val="windowText" lastClr="000000"/>
              </a:solidFill>
            </a:rPr>
            <a:t>The analysis indicates a weak positive correlation between average length of stay and mortality rate (R² = 0.1877).  Additional factors are likely influencing this outcome and warrant further investigation.</a:t>
          </a:r>
          <a:endParaRPr lang="ru-RU" sz="13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197556</xdr:colOff>
      <xdr:row>75</xdr:row>
      <xdr:rowOff>21167</xdr:rowOff>
    </xdr:from>
    <xdr:to>
      <xdr:col>9</xdr:col>
      <xdr:colOff>282223</xdr:colOff>
      <xdr:row>77</xdr:row>
      <xdr:rowOff>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66F130F-D70B-41A5-BBA3-C0A13C2A806D}"/>
            </a:ext>
          </a:extLst>
        </xdr:cNvPr>
        <xdr:cNvSpPr/>
      </xdr:nvSpPr>
      <xdr:spPr>
        <a:xfrm>
          <a:off x="197556" y="14555611"/>
          <a:ext cx="5545667" cy="345723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300">
              <a:solidFill>
                <a:sysClr val="windowText" lastClr="000000"/>
              </a:solidFill>
            </a:rPr>
            <a:t>Higher discharge rates do not show a strong relationship with length of stay</a:t>
          </a:r>
          <a:r>
            <a:rPr lang="en-US" sz="1400">
              <a:solidFill>
                <a:sysClr val="windowText" lastClr="000000"/>
              </a:solidFill>
            </a:rPr>
            <a:t>.</a:t>
          </a:r>
          <a:endParaRPr lang="ru-RU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249591</xdr:colOff>
      <xdr:row>56</xdr:row>
      <xdr:rowOff>132290</xdr:rowOff>
    </xdr:from>
    <xdr:to>
      <xdr:col>20</xdr:col>
      <xdr:colOff>1076855</xdr:colOff>
      <xdr:row>77</xdr:row>
      <xdr:rowOff>164041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F266023-C8EF-008F-D827-0CFA1385B4AE}"/>
            </a:ext>
          </a:extLst>
        </xdr:cNvPr>
        <xdr:cNvSpPr txBox="1"/>
      </xdr:nvSpPr>
      <xdr:spPr>
        <a:xfrm>
          <a:off x="10790591" y="11181290"/>
          <a:ext cx="4489097" cy="3884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Executive Summary </a:t>
          </a:r>
          <a:endParaRPr lang="ru-RU" sz="1200" b="1">
            <a:effectLst/>
          </a:endParaRPr>
        </a:p>
        <a:p>
          <a:r>
            <a:rPr lang="en-US" sz="1200" b="0"/>
            <a:t>ER dependency (country average 79.6%) appears to act as a key system constraint, highlighting a heavy reliance on emergency pathways.</a:t>
          </a:r>
          <a:endParaRPr lang="ru-RU" sz="1200" b="0"/>
        </a:p>
        <a:p>
          <a:endParaRPr lang="en-US" sz="1200" b="0"/>
        </a:p>
        <a:p>
          <a:r>
            <a:rPr lang="ru-RU" sz="1200"/>
            <a:t>• </a:t>
          </a:r>
          <a:r>
            <a:rPr lang="en-US" sz="1200"/>
            <a:t>The District of Columbia (87.5%), Delaware (86.3%), and Hawaii (87.0%) demonstrate both the highest reliance on ER and longest</a:t>
          </a:r>
          <a:r>
            <a:rPr lang="en-US" sz="1200" baseline="0"/>
            <a:t> hospital stay.</a:t>
          </a:r>
          <a:endParaRPr lang="en-US" sz="1200"/>
        </a:p>
        <a:p>
          <a:r>
            <a:rPr lang="ru-RU" sz="1200"/>
            <a:t>• </a:t>
          </a:r>
          <a:r>
            <a:rPr lang="en-US" sz="1200"/>
            <a:t>Hawaii and the District of Columbia also rank among the top 10 states by mortality rate, indicating a concerning overlap between system inefficiency and poorer patient outcomes. </a:t>
          </a:r>
        </a:p>
        <a:p>
          <a:r>
            <a:rPr lang="ru-RU" sz="1200"/>
            <a:t>• </a:t>
          </a:r>
          <a:r>
            <a:rPr lang="en-US" sz="1200"/>
            <a:t>The District of Columbia stands out as a clear outlier, with the longest average length of stay (8.8 days), the highest utilization, and the highest ER dependency rate (87.5%). </a:t>
          </a:r>
        </a:p>
        <a:p>
          <a:r>
            <a:rPr lang="ru-RU" sz="1200"/>
            <a:t>• </a:t>
          </a:r>
          <a:r>
            <a:rPr lang="en-US" sz="1200"/>
            <a:t> Utah and Kansas represent best practice examples, demonstrating high patient turnover and operational efficiency (average LOS of 4.5–5.3 days) with lower overall system load. </a:t>
          </a:r>
          <a:endParaRPr lang="ru-RU" sz="1200"/>
        </a:p>
        <a:p>
          <a:endParaRPr lang="en-US" sz="1200"/>
        </a:p>
        <a:p>
          <a:r>
            <a:rPr lang="en-US" sz="1200"/>
            <a:t>These findings highlight a clear opportunity to improve system efficiency by reducing reliance on emergency care and strengthening preventive pathways.</a:t>
          </a:r>
          <a:endParaRPr lang="ru-RU" sz="1200"/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0.75729</cdr:x>
      <cdr:y>0.303</cdr:y>
    </cdr:from>
    <cdr:to>
      <cdr:x>0.96051</cdr:x>
      <cdr:y>0.35896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CE3A26F-FD17-11B2-38EF-751F281C62E8}"/>
            </a:ext>
          </a:extLst>
        </cdr:cNvPr>
        <cdr:cNvSpPr txBox="1"/>
      </cdr:nvSpPr>
      <cdr:spPr>
        <a:xfrm xmlns:a="http://schemas.openxmlformats.org/drawingml/2006/main">
          <a:off x="4135584" y="989829"/>
          <a:ext cx="1109784" cy="182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Dictrict of Columbia</a:t>
          </a:r>
        </a:p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0.29684</cdr:x>
      <cdr:y>0.31698</cdr:y>
    </cdr:from>
    <cdr:to>
      <cdr:x>0.46392</cdr:x>
      <cdr:y>0.37724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2F10A513-917A-035C-14E2-866A3C9B4C14}"/>
            </a:ext>
          </a:extLst>
        </cdr:cNvPr>
        <cdr:cNvSpPr txBox="1"/>
      </cdr:nvSpPr>
      <cdr:spPr>
        <a:xfrm xmlns:a="http://schemas.openxmlformats.org/drawingml/2006/main">
          <a:off x="2144953" y="1397118"/>
          <a:ext cx="1207311" cy="2656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ysClr val="windowText" lastClr="000000"/>
              </a:solidFill>
            </a:rPr>
            <a:t>South Dacota</a:t>
          </a:r>
          <a:endParaRPr lang="ru-RU" sz="11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0.40845</cdr:x>
      <cdr:y>0.59398</cdr:y>
    </cdr:from>
    <cdr:to>
      <cdr:x>0.51983</cdr:x>
      <cdr:y>0.65998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CE56C77-1DF9-D18F-B419-F8DA332D38C7}"/>
            </a:ext>
          </a:extLst>
        </cdr:cNvPr>
        <cdr:cNvSpPr txBox="1"/>
      </cdr:nvSpPr>
      <cdr:spPr>
        <a:xfrm xmlns:a="http://schemas.openxmlformats.org/drawingml/2006/main">
          <a:off x="2951467" y="2618036"/>
          <a:ext cx="804826" cy="2909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Montana</a:t>
          </a:r>
          <a:endParaRPr lang="ru-RU" sz="1100" kern="1200"/>
        </a:p>
      </cdr:txBody>
    </cdr:sp>
  </cdr:relSizeAnchor>
  <cdr:relSizeAnchor xmlns:cdr="http://schemas.openxmlformats.org/drawingml/2006/chartDrawing">
    <cdr:from>
      <cdr:x>0.1704</cdr:x>
      <cdr:y>0.38149</cdr:y>
    </cdr:from>
    <cdr:to>
      <cdr:x>0.31109</cdr:x>
      <cdr:y>0.4561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3734081A-7365-BF2E-58B5-F368054E1106}"/>
            </a:ext>
          </a:extLst>
        </cdr:cNvPr>
        <cdr:cNvSpPr txBox="1"/>
      </cdr:nvSpPr>
      <cdr:spPr>
        <a:xfrm xmlns:a="http://schemas.openxmlformats.org/drawingml/2006/main">
          <a:off x="1231309" y="1681476"/>
          <a:ext cx="1016618" cy="3288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ysClr val="windowText" lastClr="000000"/>
              </a:solidFill>
            </a:rPr>
            <a:t>North Dakota</a:t>
          </a:r>
          <a:endParaRPr lang="ru-RU" sz="11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0.11708</cdr:x>
      <cdr:y>0.12988</cdr:y>
    </cdr:from>
    <cdr:to>
      <cdr:x>0.27474</cdr:x>
      <cdr:y>0.21598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4EE0E377-D3DE-B01D-CBA9-6A6BD9BFC96B}"/>
            </a:ext>
          </a:extLst>
        </cdr:cNvPr>
        <cdr:cNvSpPr/>
      </cdr:nvSpPr>
      <cdr:spPr>
        <a:xfrm xmlns:a="http://schemas.openxmlformats.org/drawingml/2006/main">
          <a:off x="639375" y="424280"/>
          <a:ext cx="860982" cy="2812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ysClr val="windowText" lastClr="000000"/>
              </a:solidFill>
            </a:rPr>
            <a:t>Inefficient</a:t>
          </a:r>
          <a:endParaRPr lang="ru-RU" sz="12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0.73514</cdr:x>
      <cdr:y>0.13277</cdr:y>
    </cdr:from>
    <cdr:to>
      <cdr:x>0.9677</cdr:x>
      <cdr:y>0.23542</cdr:y>
    </cdr:to>
    <cdr:sp macro="" textlink="">
      <cdr:nvSpPr>
        <cdr:cNvPr id="11" name="Rectangle 10">
          <a:extLst xmlns:a="http://schemas.openxmlformats.org/drawingml/2006/main">
            <a:ext uri="{FF2B5EF4-FFF2-40B4-BE49-F238E27FC236}">
              <a16:creationId xmlns:a16="http://schemas.microsoft.com/office/drawing/2014/main" id="{A822F966-72D4-C0DB-DCC0-866FF8457260}"/>
            </a:ext>
          </a:extLst>
        </cdr:cNvPr>
        <cdr:cNvSpPr/>
      </cdr:nvSpPr>
      <cdr:spPr>
        <a:xfrm xmlns:a="http://schemas.openxmlformats.org/drawingml/2006/main">
          <a:off x="4014611" y="433720"/>
          <a:ext cx="1270000" cy="3353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ysClr val="windowText" lastClr="000000"/>
              </a:solidFill>
            </a:rPr>
            <a:t>System</a:t>
          </a:r>
          <a:r>
            <a:rPr lang="en-US" sz="1200" kern="1200" baseline="0">
              <a:solidFill>
                <a:sysClr val="windowText" lastClr="000000"/>
              </a:solidFill>
            </a:rPr>
            <a:t> Pressure</a:t>
          </a:r>
          <a:endParaRPr lang="ru-RU" sz="12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0.13352</cdr:x>
      <cdr:y>0.73715</cdr:y>
    </cdr:from>
    <cdr:to>
      <cdr:x>0.43711</cdr:x>
      <cdr:y>0.81071</cdr:y>
    </cdr:to>
    <cdr:sp macro="" textlink="">
      <cdr:nvSpPr>
        <cdr:cNvPr id="12" name="Rectangle 11">
          <a:extLst xmlns:a="http://schemas.openxmlformats.org/drawingml/2006/main">
            <a:ext uri="{FF2B5EF4-FFF2-40B4-BE49-F238E27FC236}">
              <a16:creationId xmlns:a16="http://schemas.microsoft.com/office/drawing/2014/main" id="{A822F966-72D4-C0DB-DCC0-866FF8457260}"/>
            </a:ext>
          </a:extLst>
        </cdr:cNvPr>
        <cdr:cNvSpPr/>
      </cdr:nvSpPr>
      <cdr:spPr>
        <a:xfrm xmlns:a="http://schemas.openxmlformats.org/drawingml/2006/main">
          <a:off x="729176" y="2408060"/>
          <a:ext cx="1657905" cy="240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</a:rPr>
            <a:t>Underused</a:t>
          </a:r>
          <a:r>
            <a:rPr lang="en-US" sz="1200">
              <a:solidFill>
                <a:sysClr val="windowText" lastClr="000000"/>
              </a:solidFill>
            </a:rPr>
            <a:t> but Efficient</a:t>
          </a:r>
          <a:endParaRPr lang="ru-RU" sz="12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0.6906</cdr:x>
      <cdr:y>0.74659</cdr:y>
    </cdr:from>
    <cdr:to>
      <cdr:x>0.97703</cdr:x>
      <cdr:y>0.82564</cdr:y>
    </cdr:to>
    <cdr:sp macro="" textlink="">
      <cdr:nvSpPr>
        <cdr:cNvPr id="13" name="Rectangle 12">
          <a:extLst xmlns:a="http://schemas.openxmlformats.org/drawingml/2006/main">
            <a:ext uri="{FF2B5EF4-FFF2-40B4-BE49-F238E27FC236}">
              <a16:creationId xmlns:a16="http://schemas.microsoft.com/office/drawing/2014/main" id="{329AD397-779F-1900-DE92-5E96316DE0EA}"/>
            </a:ext>
          </a:extLst>
        </cdr:cNvPr>
        <cdr:cNvSpPr/>
      </cdr:nvSpPr>
      <cdr:spPr>
        <a:xfrm xmlns:a="http://schemas.openxmlformats.org/drawingml/2006/main">
          <a:off x="3771366" y="2438897"/>
          <a:ext cx="1564195" cy="2582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solidFill>
            <a:schemeClr val="bg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Efficient / High Turnover</a:t>
          </a:r>
          <a:endParaRPr lang="ru-RU" sz="1200" b="0" kern="1200">
            <a:solidFill>
              <a:sysClr val="windowText" lastClr="000000"/>
            </a:solidFill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0.68645</cdr:x>
      <cdr:y>0.10898</cdr:y>
    </cdr:from>
    <cdr:to>
      <cdr:x>0.92622</cdr:x>
      <cdr:y>0.21014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3C43576A-F3EA-296D-FFD0-F1F94512144F}"/>
            </a:ext>
          </a:extLst>
        </cdr:cNvPr>
        <cdr:cNvSpPr/>
      </cdr:nvSpPr>
      <cdr:spPr>
        <a:xfrm xmlns:a="http://schemas.openxmlformats.org/drawingml/2006/main">
          <a:off x="3713588" y="318319"/>
          <a:ext cx="1297119" cy="2955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kern="1200">
              <a:solidFill>
                <a:sysClr val="windowText" lastClr="000000"/>
              </a:solidFill>
            </a:rPr>
            <a:t>District</a:t>
          </a:r>
          <a:r>
            <a:rPr lang="en-US" kern="1200" baseline="0">
              <a:solidFill>
                <a:sysClr val="windowText" lastClr="000000"/>
              </a:solidFill>
            </a:rPr>
            <a:t> of Columbia</a:t>
          </a:r>
          <a:endParaRPr lang="ru-RU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0.82709</cdr:x>
      <cdr:y>0.36082</cdr:y>
    </cdr:from>
    <cdr:to>
      <cdr:x>0.98156</cdr:x>
      <cdr:y>0.42784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27F36A0-C0A3-5665-305B-6C07A0490A1D}"/>
            </a:ext>
          </a:extLst>
        </cdr:cNvPr>
        <cdr:cNvSpPr/>
      </cdr:nvSpPr>
      <cdr:spPr>
        <a:xfrm xmlns:a="http://schemas.openxmlformats.org/drawingml/2006/main">
          <a:off x="4556126" y="1333500"/>
          <a:ext cx="85090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kern="1200">
              <a:solidFill>
                <a:sysClr val="windowText" lastClr="000000"/>
              </a:solidFill>
            </a:rPr>
            <a:t>Puerto</a:t>
          </a:r>
          <a:r>
            <a:rPr lang="en-US" kern="1200" baseline="0">
              <a:solidFill>
                <a:sysClr val="windowText" lastClr="000000"/>
              </a:solidFill>
            </a:rPr>
            <a:t> Rico</a:t>
          </a:r>
          <a:endParaRPr lang="ru-RU" kern="1200">
            <a:solidFill>
              <a:sysClr val="windowText" lastClr="000000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189694097222" createdVersion="8" refreshedVersion="8" minRefreshableVersion="3" recordCount="52" xr:uid="{D6B83EA8-B20E-48EB-9501-9D5BC3E5B181}">
  <cacheSource type="worksheet">
    <worksheetSource name="MDCR_INPT_HOSP_MA_7_CPS_13UMI"/>
  </cacheSource>
  <cacheFields count="23">
    <cacheField name="Area of Residence" numFmtId="0">
      <sharedItems count="52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  <s v="Puerto Rico"/>
      </sharedItems>
    </cacheField>
    <cacheField name="Total Medicare Advantage Part A Enrollees²" numFmtId="0">
      <sharedItems containsSemiMixedTypes="0" containsString="0" containsNumber="1" containsInteger="1" minValue="2633" maxValue="3203822"/>
    </cacheField>
    <cacheField name="Total Persons With Utilization" numFmtId="0">
      <sharedItems containsSemiMixedTypes="0" containsString="0" containsNumber="1" containsInteger="1" minValue="293" maxValue="367752"/>
    </cacheField>
    <cacheField name="Total Discharges" numFmtId="0">
      <sharedItems containsSemiMixedTypes="0" containsString="0" containsNumber="1" containsInteger="1" minValue="441" maxValue="562993" count="52">
        <n v="132442"/>
        <n v="441"/>
        <n v="132170"/>
        <n v="58207"/>
        <n v="517290"/>
        <n v="77668"/>
        <n v="71924"/>
        <n v="13079"/>
        <n v="7119"/>
        <n v="562993"/>
        <n v="207197"/>
        <n v="24086"/>
        <n v="20348"/>
        <n v="193801"/>
        <n v="125164"/>
        <n v="33551"/>
        <n v="34289"/>
        <n v="102790"/>
        <n v="93573"/>
        <n v="22550"/>
        <n v="41945"/>
        <n v="100035"/>
        <n v="247920"/>
        <n v="87122"/>
        <n v="46983"/>
        <n v="141333"/>
        <n v="8705"/>
        <n v="17676"/>
        <n v="57568"/>
        <n v="14597"/>
        <n v="143738"/>
        <n v="33947"/>
        <n v="383219"/>
        <n v="199504"/>
        <n v="2653"/>
        <n v="290867"/>
        <n v="64145"/>
        <n v="68523"/>
        <n v="316201"/>
        <n v="25823"/>
        <n v="105733"/>
        <n v="4293"/>
        <n v="150603"/>
        <n v="502080"/>
        <n v="27756"/>
        <n v="5594"/>
        <n v="118522"/>
        <n v="94435"/>
        <n v="43190"/>
        <n v="95935"/>
        <n v="1660"/>
        <n v="109665"/>
      </sharedItems>
    </cacheField>
    <cacheField name="Discharges Per 1,000 Medicare Advantage Part A Enrollees" numFmtId="0">
      <sharedItems containsSemiMixedTypes="0" containsString="0" containsNumber="1" containsInteger="1" minValue="70" maxValue="268"/>
    </cacheField>
    <cacheField name="Discharges per 1,000 Persons With Utilization" numFmtId="0">
      <sharedItems containsSemiMixedTypes="0" containsString="0" containsNumber="1" containsInteger="1" minValue="1304" maxValue="1657"/>
    </cacheField>
    <cacheField name="Total Discharges Beginning with Emergency Room Visit³" numFmtId="0">
      <sharedItems containsSemiMixedTypes="0" containsString="0" containsNumber="1" containsInteger="1" minValue="374" maxValue="467699"/>
    </cacheField>
    <cacheField name="Total Days of Care" numFmtId="0">
      <sharedItems containsSemiMixedTypes="0" containsString="0" containsNumber="1" containsInteger="1" minValue="2955" maxValue="3328274"/>
    </cacheField>
    <cacheField name="Total Days Per 1,000 Medicare Advantage Part A Enrollees" numFmtId="0">
      <sharedItems containsSemiMixedTypes="0" containsString="0" containsNumber="1" minValue="426.31" maxValue="2349.0700000000002"/>
    </cacheField>
    <cacheField name="Total Days Per Person With Utilization" numFmtId="0">
      <sharedItems containsSemiMixedTypes="0" containsString="0" containsNumber="1" minValue="6.07" maxValue="14.5"/>
    </cacheField>
    <cacheField name="Total Days Per Discharge" numFmtId="0">
      <sharedItems containsSemiMixedTypes="0" containsString="0" containsNumber="1" minValue="4.5126459143968871" maxValue="8.7541789577187803"/>
    </cacheField>
    <cacheField name="Discharged Dead⁴" numFmtId="0">
      <sharedItems containsSemiMixedTypes="0" containsString="0" containsNumber="1" containsInteger="1" minValue="19" maxValue="24077"/>
    </cacheField>
    <cacheField name="ER Origination Admission Rate 1" numFmtId="0" formula="'Total Discharges Beginning with Emergency Room Visit³'/'Total Days Per Discharge'" databaseField="0"/>
    <cacheField name="ER-Originating Admission Rate" numFmtId="0" formula="'Total Discharges Beginning with Emergency Room Visit³'/'Total Discharges'" databaseField="0"/>
    <cacheField name="Average Lenght of Stay" numFmtId="0" formula="'Total Days Per 1,000 Medicare Advantage Part A Enrollees'/'Discharges per 1,000 Persons With Utilization'" databaseField="0"/>
    <cacheField name="Util Rate" numFmtId="0" formula="'Total Persons With Utilization'/'Total Medicare Advantage Part A Enrollees²'" databaseField="0"/>
    <cacheField name="Field1" numFmtId="0" formula="'Total Discharges Beginning with Emergency Room Visit³'*100/'Total Discharges'" databaseField="0"/>
    <cacheField name="ER discharge rate" numFmtId="0" formula="'Total Discharges Beginning with Emergency Room Visit³'/'Total Discharges'" databaseField="0"/>
    <cacheField name="Intencity of Use" numFmtId="0" formula="'Total Discharges'/'Total Persons With Utilization'" databaseField="0"/>
    <cacheField name="Field2" numFmtId="0" formula="'Discharged Dead⁴'/'Total Discharges'" databaseField="0"/>
    <cacheField name="Severity" numFmtId="0" formula="'Total Days of Care'/'Total Persons With Utilization'" databaseField="0"/>
    <cacheField name="Field3" numFmtId="0" formula="'Discharges Per 1,000 Medicare Advantage Part A Enrollees'/'Total Days Per 1,000 Medicare Advantage Part A Enrollees'" databaseField="0"/>
    <cacheField name="LOS" numFmtId="0" formula="'Total Days of Care'/'Total Discharg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7.167793055552" createdVersion="8" refreshedVersion="8" minRefreshableVersion="3" recordCount="52" xr:uid="{5EEDA381-608D-49F2-90CE-B13CE56A370C}">
  <cacheSource type="worksheet">
    <worksheetSource ref="A1:F52" sheet="LOS1"/>
  </cacheSource>
  <cacheFields count="6">
    <cacheField name="States" numFmtId="0">
      <sharedItems count="52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Total Discharges" numFmtId="0">
      <sharedItems containsSemiMixedTypes="0" containsString="0" containsNumber="1" containsInteger="1" minValue="441" maxValue="562993"/>
    </cacheField>
    <cacheField name="Total Days of Care" numFmtId="0">
      <sharedItems containsSemiMixedTypes="0" containsString="0" containsNumber="1" containsInteger="1" minValue="2955" maxValue="3328274"/>
    </cacheField>
    <cacheField name=" Discharges Per 1,000 Medicare Advantage Part A Enrollees" numFmtId="0">
      <sharedItems containsSemiMixedTypes="0" containsString="0" containsNumber="1" containsInteger="1" minValue="70" maxValue="268"/>
    </cacheField>
    <cacheField name="LOS  " numFmtId="164">
      <sharedItems containsSemiMixedTypes="0" containsString="0" containsNumber="1" minValue="4.5126459143968871" maxValue="8.7541789577187803"/>
    </cacheField>
    <cacheField name="Quadranrt" numFmtId="164">
      <sharedItems count="4">
        <s v="System Pressure"/>
        <s v="Inefficient"/>
        <s v="Efficient / High Turnover"/>
        <s v="Underused but Efficient"/>
      </sharedItems>
    </cacheField>
  </cacheFields>
  <extLst>
    <ext xmlns:x14="http://schemas.microsoft.com/office/spreadsheetml/2009/9/main" uri="{725AE2AE-9491-48be-B2B4-4EB974FC3084}">
      <x14:pivotCacheDefinition pivotCacheId="2726039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n v="588194"/>
    <n v="88688"/>
    <x v="0"/>
    <n v="225"/>
    <n v="1493"/>
    <n v="102393"/>
    <n v="874618"/>
    <n v="1486.96"/>
    <n v="9.86"/>
    <n v="6.6037812778423763"/>
    <n v="4923"/>
  </r>
  <r>
    <x v="1"/>
    <n v="2633"/>
    <n v="293"/>
    <x v="1"/>
    <n v="168"/>
    <n v="1505"/>
    <n v="374"/>
    <n v="2955"/>
    <n v="1122.47"/>
    <n v="10.09"/>
    <n v="6.7006802721088432"/>
    <n v="19"/>
  </r>
  <r>
    <x v="2"/>
    <n v="676493"/>
    <n v="89376"/>
    <x v="2"/>
    <n v="195"/>
    <n v="1479"/>
    <n v="107025"/>
    <n v="771735"/>
    <n v="1140.79"/>
    <n v="8.6300000000000008"/>
    <n v="5.8389574033441782"/>
    <n v="5563"/>
  </r>
  <r>
    <x v="3"/>
    <n v="247249"/>
    <n v="38166"/>
    <x v="3"/>
    <n v="235"/>
    <n v="1525"/>
    <n v="44696"/>
    <n v="334879"/>
    <n v="1354.42"/>
    <n v="8.77"/>
    <n v="5.7532427371278372"/>
    <n v="1998"/>
  </r>
  <r>
    <x v="4"/>
    <n v="3203822"/>
    <n v="355399"/>
    <x v="4"/>
    <n v="161"/>
    <n v="1456"/>
    <n v="429005"/>
    <n v="2940860"/>
    <n v="917.92"/>
    <n v="8.27"/>
    <n v="5.6851282646097934"/>
    <n v="24077"/>
  </r>
  <r>
    <x v="5"/>
    <n v="474146"/>
    <n v="55488"/>
    <x v="5"/>
    <n v="164"/>
    <n v="1400"/>
    <n v="60892"/>
    <n v="432416"/>
    <n v="911.99"/>
    <n v="7.79"/>
    <n v="5.5674924035638877"/>
    <n v="3076"/>
  </r>
  <r>
    <x v="6"/>
    <n v="364421"/>
    <n v="47625"/>
    <x v="6"/>
    <n v="197"/>
    <n v="1510"/>
    <n v="58991"/>
    <n v="440901"/>
    <n v="1209.8699999999999"/>
    <n v="9.26"/>
    <n v="6.1300956565263336"/>
    <n v="2866"/>
  </r>
  <r>
    <x v="7"/>
    <n v="61979"/>
    <n v="8693"/>
    <x v="7"/>
    <n v="211"/>
    <n v="1505"/>
    <n v="11281"/>
    <n v="99859"/>
    <n v="1611.17"/>
    <n v="11.49"/>
    <n v="7.6350638428014372"/>
    <n v="511"/>
  </r>
  <r>
    <x v="8"/>
    <n v="26530"/>
    <n v="4297"/>
    <x v="8"/>
    <n v="268"/>
    <n v="1657"/>
    <n v="6231"/>
    <n v="62321"/>
    <n v="2349.0700000000002"/>
    <n v="14.5"/>
    <n v="8.7541789577187803"/>
    <n v="385"/>
  </r>
  <r>
    <x v="9"/>
    <n v="2600257"/>
    <n v="367752"/>
    <x v="9"/>
    <n v="217"/>
    <n v="1531"/>
    <n v="467699"/>
    <n v="3328274"/>
    <n v="1279.98"/>
    <n v="9.0500000000000007"/>
    <n v="5.91175023490523"/>
    <n v="14817"/>
  </r>
  <r>
    <x v="10"/>
    <n v="931049"/>
    <n v="134819"/>
    <x v="10"/>
    <n v="223"/>
    <n v="1537"/>
    <n v="170280"/>
    <n v="1391255"/>
    <n v="1494.29"/>
    <n v="10.32"/>
    <n v="6.7146483781135826"/>
    <n v="7458"/>
  </r>
  <r>
    <x v="11"/>
    <n v="151349"/>
    <n v="16907"/>
    <x v="11"/>
    <n v="159"/>
    <n v="1425"/>
    <n v="20959"/>
    <n v="189384"/>
    <n v="1251.31"/>
    <n v="11.2"/>
    <n v="7.862824877522212"/>
    <n v="1207"/>
  </r>
  <r>
    <x v="12"/>
    <n v="161847"/>
    <n v="15599"/>
    <x v="12"/>
    <n v="126"/>
    <n v="1304"/>
    <n v="15188"/>
    <n v="118235"/>
    <n v="730.54"/>
    <n v="7.58"/>
    <n v="5.8106447808138393"/>
    <n v="847"/>
  </r>
  <r>
    <x v="13"/>
    <n v="880389"/>
    <n v="125530"/>
    <x v="13"/>
    <n v="220"/>
    <n v="1544"/>
    <n v="156335"/>
    <n v="1171422"/>
    <n v="1330.57"/>
    <n v="9.33"/>
    <n v="6.0444579749330503"/>
    <n v="7505"/>
  </r>
  <r>
    <x v="14"/>
    <n v="578467"/>
    <n v="84197"/>
    <x v="14"/>
    <n v="216"/>
    <n v="1487"/>
    <n v="96793"/>
    <n v="745284"/>
    <n v="1288.3800000000001"/>
    <n v="8.85"/>
    <n v="5.9544597488095619"/>
    <n v="5290"/>
  </r>
  <r>
    <x v="15"/>
    <n v="206927"/>
    <n v="23707"/>
    <x v="15"/>
    <n v="162"/>
    <n v="1415"/>
    <n v="24838"/>
    <n v="192823"/>
    <n v="931.84"/>
    <n v="8.1300000000000008"/>
    <n v="5.7471610384191232"/>
    <n v="1475"/>
  </r>
  <r>
    <x v="16"/>
    <n v="162510"/>
    <n v="23199"/>
    <x v="16"/>
    <n v="211"/>
    <n v="1478"/>
    <n v="25695"/>
    <n v="180567"/>
    <n v="1111.1199999999999"/>
    <n v="7.78"/>
    <n v="5.2660328385196422"/>
    <n v="1296"/>
  </r>
  <r>
    <x v="17"/>
    <n v="460072"/>
    <n v="67892"/>
    <x v="17"/>
    <n v="223"/>
    <n v="1514"/>
    <n v="78688"/>
    <n v="685107"/>
    <n v="1489.13"/>
    <n v="10.09"/>
    <n v="6.6651133378733336"/>
    <n v="4363"/>
  </r>
  <r>
    <x v="18"/>
    <n v="456909"/>
    <n v="63010"/>
    <x v="18"/>
    <n v="205"/>
    <n v="1485"/>
    <n v="75137"/>
    <n v="553852"/>
    <n v="1212.17"/>
    <n v="8.7899999999999991"/>
    <n v="5.9189296057623464"/>
    <n v="3709"/>
  </r>
  <r>
    <x v="19"/>
    <n v="187846"/>
    <n v="16825"/>
    <x v="19"/>
    <n v="120"/>
    <n v="1340"/>
    <n v="16652"/>
    <n v="167711"/>
    <n v="892.81"/>
    <n v="9.9700000000000006"/>
    <n v="7.4372949002217297"/>
    <n v="920"/>
  </r>
  <r>
    <x v="20"/>
    <n v="208655"/>
    <n v="27605"/>
    <x v="20"/>
    <n v="201"/>
    <n v="1519"/>
    <n v="34046"/>
    <n v="298360"/>
    <n v="1429.92"/>
    <n v="10.81"/>
    <n v="7.1131243294790796"/>
    <n v="1797"/>
  </r>
  <r>
    <x v="21"/>
    <n v="439122"/>
    <n v="64721"/>
    <x v="21"/>
    <n v="228"/>
    <n v="1546"/>
    <n v="81024"/>
    <n v="654517"/>
    <n v="1490.51"/>
    <n v="10.11"/>
    <n v="6.5428799920027991"/>
    <n v="2910"/>
  </r>
  <r>
    <x v="22"/>
    <n v="1201394"/>
    <n v="162568"/>
    <x v="22"/>
    <n v="206"/>
    <n v="1525"/>
    <n v="200186"/>
    <n v="1521371"/>
    <n v="1266.3399999999999"/>
    <n v="9.36"/>
    <n v="6.136540012907389"/>
    <n v="9951"/>
  </r>
  <r>
    <x v="23"/>
    <n v="601998"/>
    <n v="61042"/>
    <x v="23"/>
    <n v="145"/>
    <n v="1427"/>
    <n v="64053"/>
    <n v="506524"/>
    <n v="841.4"/>
    <n v="8.3000000000000007"/>
    <n v="5.8139620302564223"/>
    <n v="3166"/>
  </r>
  <r>
    <x v="24"/>
    <n v="217161"/>
    <n v="31124"/>
    <x v="24"/>
    <n v="216"/>
    <n v="1510"/>
    <n v="37892"/>
    <n v="307660"/>
    <n v="1416.74"/>
    <n v="9.8800000000000008"/>
    <n v="6.5483259902517936"/>
    <n v="1965"/>
  </r>
  <r>
    <x v="25"/>
    <n v="609713"/>
    <n v="92605"/>
    <x v="25"/>
    <n v="232"/>
    <n v="1526"/>
    <n v="111037"/>
    <n v="814817"/>
    <n v="1336.39"/>
    <n v="8.8000000000000007"/>
    <n v="5.7652282198778773"/>
    <n v="5984"/>
  </r>
  <r>
    <x v="26"/>
    <n v="63437"/>
    <n v="6499"/>
    <x v="26"/>
    <n v="137"/>
    <n v="1339"/>
    <n v="6418"/>
    <n v="54161"/>
    <n v="853.78"/>
    <n v="8.33"/>
    <n v="6.2218265364732916"/>
    <n v="476"/>
  </r>
  <r>
    <x v="27"/>
    <n v="105009"/>
    <n v="12291"/>
    <x v="27"/>
    <n v="168"/>
    <n v="1438"/>
    <n v="12725"/>
    <n v="113153"/>
    <n v="1077.56"/>
    <n v="9.2100000000000009"/>
    <n v="6.4015048653541529"/>
    <n v="845"/>
  </r>
  <r>
    <x v="28"/>
    <n v="266529"/>
    <n v="37791"/>
    <x v="28"/>
    <n v="216"/>
    <n v="1523"/>
    <n v="50163"/>
    <n v="356465"/>
    <n v="1337.44"/>
    <n v="9.43"/>
    <n v="6.1920685102834909"/>
    <n v="2311"/>
  </r>
  <r>
    <x v="29"/>
    <n v="95587"/>
    <n v="10157"/>
    <x v="29"/>
    <n v="153"/>
    <n v="1437"/>
    <n v="11220"/>
    <n v="99528"/>
    <n v="1041.23"/>
    <n v="9.8000000000000007"/>
    <n v="6.8183873398643557"/>
    <n v="650"/>
  </r>
  <r>
    <x v="30"/>
    <n v="625749"/>
    <n v="92153"/>
    <x v="30"/>
    <n v="230"/>
    <n v="1560"/>
    <n v="123903"/>
    <n v="887058"/>
    <n v="1417.59"/>
    <n v="9.6300000000000008"/>
    <n v="6.1713534347215084"/>
    <n v="5946"/>
  </r>
  <r>
    <x v="31"/>
    <n v="204830"/>
    <n v="23944"/>
    <x v="31"/>
    <n v="166"/>
    <n v="1418"/>
    <n v="26541"/>
    <n v="201889"/>
    <n v="985.64"/>
    <n v="8.43"/>
    <n v="5.9471823725218727"/>
    <n v="1544"/>
  </r>
  <r>
    <x v="32"/>
    <n v="1813532"/>
    <n v="254466"/>
    <x v="32"/>
    <n v="211"/>
    <n v="1506"/>
    <n v="313757"/>
    <n v="2596405"/>
    <n v="1431.68"/>
    <n v="10.199999999999999"/>
    <n v="6.7752512271051284"/>
    <n v="16588"/>
  </r>
  <r>
    <x v="33"/>
    <n v="1033407"/>
    <n v="136495"/>
    <x v="33"/>
    <n v="193"/>
    <n v="1462"/>
    <n v="159772"/>
    <n v="1276274"/>
    <n v="1235.02"/>
    <n v="9.35"/>
    <n v="6.3972351431550241"/>
    <n v="8810"/>
  </r>
  <r>
    <x v="34"/>
    <n v="37745"/>
    <n v="1805"/>
    <x v="34"/>
    <n v="70"/>
    <n v="1470"/>
    <n v="2091"/>
    <n v="16091"/>
    <n v="426.31"/>
    <n v="8.91"/>
    <n v="6.0652091971353181"/>
    <n v="116"/>
  </r>
  <r>
    <x v="35"/>
    <n v="1256591"/>
    <n v="190048"/>
    <x v="35"/>
    <n v="231"/>
    <n v="1530"/>
    <n v="230994"/>
    <n v="1651439"/>
    <n v="1314.22"/>
    <n v="8.69"/>
    <n v="5.6776430464782877"/>
    <n v="10870"/>
  </r>
  <r>
    <x v="36"/>
    <n v="269482"/>
    <n v="43194"/>
    <x v="36"/>
    <n v="238"/>
    <n v="1485"/>
    <n v="49350"/>
    <n v="362229"/>
    <n v="1344.17"/>
    <n v="8.39"/>
    <n v="5.647034063449996"/>
    <n v="2842"/>
  </r>
  <r>
    <x v="37"/>
    <n v="470254"/>
    <n v="50092"/>
    <x v="37"/>
    <n v="146"/>
    <n v="1368"/>
    <n v="53174"/>
    <n v="442949"/>
    <n v="941.94"/>
    <n v="8.84"/>
    <n v="6.4642382849554174"/>
    <n v="3655"/>
  </r>
  <r>
    <x v="38"/>
    <n v="1394506"/>
    <n v="209792"/>
    <x v="38"/>
    <n v="227"/>
    <n v="1507"/>
    <n v="260120"/>
    <n v="1807692"/>
    <n v="1296.3"/>
    <n v="8.6199999999999992"/>
    <n v="5.7169079161672478"/>
    <n v="13951"/>
  </r>
  <r>
    <x v="39"/>
    <n v="126257"/>
    <n v="16956"/>
    <x v="39"/>
    <n v="205"/>
    <n v="1523"/>
    <n v="21962"/>
    <n v="152274"/>
    <n v="1206.06"/>
    <n v="8.98"/>
    <n v="5.8968361538163654"/>
    <n v="414"/>
  </r>
  <r>
    <x v="40"/>
    <n v="472542"/>
    <n v="70594"/>
    <x v="40"/>
    <n v="224"/>
    <n v="1498"/>
    <n v="83893"/>
    <n v="677202"/>
    <n v="1433.1"/>
    <n v="9.59"/>
    <n v="6.4048310366678329"/>
    <n v="3986"/>
  </r>
  <r>
    <x v="41"/>
    <n v="56332"/>
    <n v="3039"/>
    <x v="41"/>
    <n v="76"/>
    <n v="1413"/>
    <n v="3043"/>
    <n v="26231"/>
    <n v="465.65"/>
    <n v="8.6300000000000008"/>
    <n v="6.1101793617516886"/>
    <n v="188"/>
  </r>
  <r>
    <x v="42"/>
    <n v="687114"/>
    <n v="100738"/>
    <x v="42"/>
    <n v="219"/>
    <n v="1495"/>
    <n v="122224"/>
    <n v="973729"/>
    <n v="1417.13"/>
    <n v="9.67"/>
    <n v="6.4655352151019567"/>
    <n v="7258"/>
  </r>
  <r>
    <x v="43"/>
    <n v="2207132"/>
    <n v="324636"/>
    <x v="43"/>
    <n v="227"/>
    <n v="1547"/>
    <n v="411356"/>
    <n v="2935505"/>
    <n v="1330.01"/>
    <n v="9.0399999999999991"/>
    <n v="5.8466877788400264"/>
    <n v="16141"/>
  </r>
  <r>
    <x v="44"/>
    <n v="203119"/>
    <n v="20642"/>
    <x v="44"/>
    <n v="137"/>
    <n v="1345"/>
    <n v="20513"/>
    <n v="125253"/>
    <n v="616.65"/>
    <n v="6.07"/>
    <n v="4.5126459143968871"/>
    <n v="753"/>
  </r>
  <r>
    <x v="45"/>
    <n v="42979"/>
    <n v="3939"/>
    <x v="45"/>
    <n v="130"/>
    <n v="1420"/>
    <n v="4091"/>
    <n v="39814"/>
    <n v="926.36"/>
    <n v="10.11"/>
    <n v="7.1172685019663922"/>
    <n v="239"/>
  </r>
  <r>
    <x v="46"/>
    <n v="533110"/>
    <n v="77807"/>
    <x v="46"/>
    <n v="222"/>
    <n v="1523"/>
    <n v="97756"/>
    <n v="753701"/>
    <n v="1413.78"/>
    <n v="9.69"/>
    <n v="6.3591653870167564"/>
    <n v="5549"/>
  </r>
  <r>
    <x v="47"/>
    <n v="617763"/>
    <n v="67022"/>
    <x v="47"/>
    <n v="153"/>
    <n v="1409"/>
    <n v="73009"/>
    <n v="700088"/>
    <n v="1133.26"/>
    <n v="10.45"/>
    <n v="7.4134378143696722"/>
    <n v="5350"/>
  </r>
  <r>
    <x v="48"/>
    <n v="208025"/>
    <n v="28267"/>
    <x v="48"/>
    <n v="208"/>
    <n v="1528"/>
    <n v="33346"/>
    <n v="261452"/>
    <n v="1256.83"/>
    <n v="9.25"/>
    <n v="6.0535309099328547"/>
    <n v="1805"/>
  </r>
  <r>
    <x v="49"/>
    <n v="652968"/>
    <n v="68135"/>
    <x v="49"/>
    <n v="147"/>
    <n v="1408"/>
    <n v="68927"/>
    <n v="593111"/>
    <n v="908.33"/>
    <n v="8.6999999999999993"/>
    <n v="6.1824256006671181"/>
    <n v="4093"/>
  </r>
  <r>
    <x v="50"/>
    <n v="10264"/>
    <n v="1185"/>
    <x v="50"/>
    <n v="162"/>
    <n v="1401"/>
    <n v="1248"/>
    <n v="9232"/>
    <n v="899.42"/>
    <n v="7.79"/>
    <n v="5.5614457831325304"/>
    <n v="66"/>
  </r>
  <r>
    <x v="51"/>
    <n v="632131"/>
    <n v="78073"/>
    <x v="51"/>
    <n v="173"/>
    <n v="1405"/>
    <n v="22436"/>
    <n v="759332"/>
    <n v="1201.23"/>
    <n v="9.73"/>
    <n v="6.924105229562759"/>
    <n v="83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n v="132442"/>
    <n v="874618"/>
    <n v="225"/>
    <n v="6.6037812778423763"/>
    <x v="0"/>
  </r>
  <r>
    <x v="1"/>
    <n v="441"/>
    <n v="2955"/>
    <n v="168"/>
    <n v="6.7006802721088432"/>
    <x v="1"/>
  </r>
  <r>
    <x v="2"/>
    <n v="132170"/>
    <n v="771735"/>
    <n v="195"/>
    <n v="5.8389574033441782"/>
    <x v="2"/>
  </r>
  <r>
    <x v="3"/>
    <n v="58207"/>
    <n v="334879"/>
    <n v="235"/>
    <n v="5.7532427371278372"/>
    <x v="2"/>
  </r>
  <r>
    <x v="4"/>
    <n v="517290"/>
    <n v="2940860"/>
    <n v="161"/>
    <n v="5.6851282646097934"/>
    <x v="3"/>
  </r>
  <r>
    <x v="5"/>
    <n v="77668"/>
    <n v="432416"/>
    <n v="164"/>
    <n v="5.5674924035638877"/>
    <x v="3"/>
  </r>
  <r>
    <x v="6"/>
    <n v="71924"/>
    <n v="440901"/>
    <n v="197"/>
    <n v="6.1300956565263336"/>
    <x v="2"/>
  </r>
  <r>
    <x v="7"/>
    <n v="13079"/>
    <n v="99859"/>
    <n v="211"/>
    <n v="7.6350638428014372"/>
    <x v="0"/>
  </r>
  <r>
    <x v="8"/>
    <n v="7119"/>
    <n v="62321"/>
    <n v="268"/>
    <n v="8.7541789577187803"/>
    <x v="0"/>
  </r>
  <r>
    <x v="9"/>
    <n v="562993"/>
    <n v="3328274"/>
    <n v="217"/>
    <n v="5.91175023490523"/>
    <x v="2"/>
  </r>
  <r>
    <x v="10"/>
    <n v="207197"/>
    <n v="1391255"/>
    <n v="223"/>
    <n v="6.7146483781135826"/>
    <x v="0"/>
  </r>
  <r>
    <x v="11"/>
    <n v="24086"/>
    <n v="189384"/>
    <n v="159"/>
    <n v="7.862824877522212"/>
    <x v="1"/>
  </r>
  <r>
    <x v="12"/>
    <n v="20348"/>
    <n v="118235"/>
    <n v="126"/>
    <n v="5.8106447808138393"/>
    <x v="3"/>
  </r>
  <r>
    <x v="13"/>
    <n v="193801"/>
    <n v="1171422"/>
    <n v="220"/>
    <n v="6.0444579749330503"/>
    <x v="2"/>
  </r>
  <r>
    <x v="14"/>
    <n v="125164"/>
    <n v="745284"/>
    <n v="216"/>
    <n v="5.9544597488095619"/>
    <x v="2"/>
  </r>
  <r>
    <x v="15"/>
    <n v="33551"/>
    <n v="192823"/>
    <n v="162"/>
    <n v="5.7471610384191232"/>
    <x v="3"/>
  </r>
  <r>
    <x v="16"/>
    <n v="34289"/>
    <n v="180567"/>
    <n v="211"/>
    <n v="5.2660328385196422"/>
    <x v="2"/>
  </r>
  <r>
    <x v="17"/>
    <n v="102790"/>
    <n v="685107"/>
    <n v="223"/>
    <n v="6.6651133378733336"/>
    <x v="0"/>
  </r>
  <r>
    <x v="18"/>
    <n v="93573"/>
    <n v="553852"/>
    <n v="205"/>
    <n v="5.9189296057623464"/>
    <x v="2"/>
  </r>
  <r>
    <x v="19"/>
    <n v="22550"/>
    <n v="167711"/>
    <n v="120"/>
    <n v="7.4372949002217297"/>
    <x v="1"/>
  </r>
  <r>
    <x v="20"/>
    <n v="41945"/>
    <n v="298360"/>
    <n v="201"/>
    <n v="7.1131243294790796"/>
    <x v="0"/>
  </r>
  <r>
    <x v="21"/>
    <n v="100035"/>
    <n v="654517"/>
    <n v="228"/>
    <n v="6.5428799920027991"/>
    <x v="0"/>
  </r>
  <r>
    <x v="22"/>
    <n v="247920"/>
    <n v="1521371"/>
    <n v="206"/>
    <n v="6.136540012907389"/>
    <x v="2"/>
  </r>
  <r>
    <x v="23"/>
    <n v="87122"/>
    <n v="506524"/>
    <n v="145"/>
    <n v="5.8139620302564223"/>
    <x v="3"/>
  </r>
  <r>
    <x v="24"/>
    <n v="46983"/>
    <n v="307660"/>
    <n v="216"/>
    <n v="6.5483259902517936"/>
    <x v="0"/>
  </r>
  <r>
    <x v="25"/>
    <n v="141333"/>
    <n v="814817"/>
    <n v="232"/>
    <n v="5.7652282198778773"/>
    <x v="2"/>
  </r>
  <r>
    <x v="26"/>
    <n v="8705"/>
    <n v="54161"/>
    <n v="137"/>
    <n v="6.2218265364732916"/>
    <x v="3"/>
  </r>
  <r>
    <x v="27"/>
    <n v="17676"/>
    <n v="113153"/>
    <n v="168"/>
    <n v="6.4015048653541529"/>
    <x v="1"/>
  </r>
  <r>
    <x v="28"/>
    <n v="57568"/>
    <n v="356465"/>
    <n v="216"/>
    <n v="6.1920685102834909"/>
    <x v="2"/>
  </r>
  <r>
    <x v="29"/>
    <n v="14597"/>
    <n v="99528"/>
    <n v="153"/>
    <n v="6.8183873398643557"/>
    <x v="1"/>
  </r>
  <r>
    <x v="30"/>
    <n v="143738"/>
    <n v="887058"/>
    <n v="230"/>
    <n v="6.1713534347215075"/>
    <x v="2"/>
  </r>
  <r>
    <x v="31"/>
    <n v="33947"/>
    <n v="201889"/>
    <n v="166"/>
    <n v="5.9471823725218727"/>
    <x v="3"/>
  </r>
  <r>
    <x v="32"/>
    <n v="383219"/>
    <n v="2596405"/>
    <n v="211"/>
    <n v="6.7752512271051275"/>
    <x v="0"/>
  </r>
  <r>
    <x v="33"/>
    <n v="199504"/>
    <n v="1276274"/>
    <n v="193"/>
    <n v="6.3972351431550241"/>
    <x v="0"/>
  </r>
  <r>
    <x v="34"/>
    <n v="2653"/>
    <n v="16091"/>
    <n v="70"/>
    <n v="6.0652091971353181"/>
    <x v="3"/>
  </r>
  <r>
    <x v="35"/>
    <n v="290867"/>
    <n v="1651439"/>
    <n v="231"/>
    <n v="5.6776430464782877"/>
    <x v="2"/>
  </r>
  <r>
    <x v="36"/>
    <n v="64145"/>
    <n v="362229"/>
    <n v="238"/>
    <n v="5.647034063449996"/>
    <x v="2"/>
  </r>
  <r>
    <x v="37"/>
    <n v="68523"/>
    <n v="442949"/>
    <n v="146"/>
    <n v="6.4642382849554165"/>
    <x v="1"/>
  </r>
  <r>
    <x v="38"/>
    <n v="316201"/>
    <n v="1807692"/>
    <n v="227"/>
    <n v="5.7169079161672478"/>
    <x v="2"/>
  </r>
  <r>
    <x v="39"/>
    <n v="25823"/>
    <n v="152274"/>
    <n v="173"/>
    <n v="6.924105229562759"/>
    <x v="1"/>
  </r>
  <r>
    <x v="40"/>
    <n v="105733"/>
    <n v="677202"/>
    <n v="205"/>
    <n v="5.8968361538163654"/>
    <x v="2"/>
  </r>
  <r>
    <x v="41"/>
    <n v="4293"/>
    <n v="26231"/>
    <n v="224"/>
    <n v="6.4048310366678329"/>
    <x v="0"/>
  </r>
  <r>
    <x v="42"/>
    <n v="150603"/>
    <n v="973729"/>
    <n v="76"/>
    <n v="6.1101793617516886"/>
    <x v="3"/>
  </r>
  <r>
    <x v="43"/>
    <n v="502080"/>
    <n v="2935505"/>
    <n v="219"/>
    <n v="6.4655352151019567"/>
    <x v="0"/>
  </r>
  <r>
    <x v="44"/>
    <n v="27756"/>
    <n v="125253"/>
    <n v="227"/>
    <n v="5.8466877788400256"/>
    <x v="2"/>
  </r>
  <r>
    <x v="45"/>
    <n v="5594"/>
    <n v="39814"/>
    <n v="137"/>
    <n v="4.5126459143968871"/>
    <x v="3"/>
  </r>
  <r>
    <x v="46"/>
    <n v="118522"/>
    <n v="753701"/>
    <n v="130"/>
    <n v="7.1172685019663922"/>
    <x v="1"/>
  </r>
  <r>
    <x v="47"/>
    <n v="94435"/>
    <n v="700088"/>
    <n v="222"/>
    <n v="6.3591653870167564"/>
    <x v="0"/>
  </r>
  <r>
    <x v="48"/>
    <n v="43190"/>
    <n v="261452"/>
    <n v="153"/>
    <n v="7.4134378143696722"/>
    <x v="1"/>
  </r>
  <r>
    <x v="49"/>
    <n v="95935"/>
    <n v="593111"/>
    <n v="208"/>
    <n v="6.0535309099328547"/>
    <x v="2"/>
  </r>
  <r>
    <x v="50"/>
    <n v="1660"/>
    <n v="9232"/>
    <n v="147"/>
    <n v="6.1824256006671181"/>
    <x v="3"/>
  </r>
  <r>
    <x v="51"/>
    <n v="109665"/>
    <n v="759332"/>
    <n v="162"/>
    <n v="5.561445783132530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59848-DD31-48D3-835F-ADBEF11A31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6" firstHeaderRow="0" firstDataRow="1" firstDataCol="1"/>
  <pivotFields count="23"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 Discharges Per 1,000 Medicare Advantage Part A Enrollees" fld="4" baseField="0" baseItem="0"/>
    <dataField name="LOS  " fld="22" baseField="0" baseItem="0" numFmtId="164"/>
  </dataFields>
  <formats count="2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3283D-FB3E-4943-B044-68759B3E6787}" name="PivotTable2" cacheId="0" applyNumberFormats="0" applyBorderFormats="0" applyFontFormats="0" applyPatternFormats="0" applyAlignmentFormats="0" applyWidthHeightFormats="1" dataCaption="Values" grandTotalCaption="State" updatedVersion="8" minRefreshableVersion="3" useAutoFormatting="1" itemPrintTitles="1" createdVersion="8" indent="0" outline="1" outlineData="1" multipleFieldFilters="0" chartFormat="13" rowHeaderCaption="State">
  <location ref="A1:B12" firstHeaderRow="1" firstDataRow="1" firstDataCol="1"/>
  <pivotFields count="23">
    <pivotField axis="axisRow" showAll="0" measureFilter="1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32"/>
    </i>
    <i>
      <x v="29"/>
    </i>
    <i>
      <x v="39"/>
    </i>
    <i>
      <x v="20"/>
    </i>
    <i>
      <x v="46"/>
    </i>
    <i>
      <x v="48"/>
    </i>
    <i>
      <x v="19"/>
    </i>
    <i>
      <x v="7"/>
    </i>
    <i>
      <x v="11"/>
    </i>
    <i>
      <x v="8"/>
    </i>
    <i t="grand">
      <x/>
    </i>
  </rowItems>
  <colItems count="1">
    <i/>
  </colItems>
  <dataFields count="1">
    <dataField name="Average Length of Stay (Days)" fld="10" subtotal="average" baseField="0" baseItem="0" numFmtId="164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1E23B-5684-462D-9C44-96D1238009AC}" name="PivotTable1" cacheId="0" applyNumberFormats="0" applyBorderFormats="0" applyFontFormats="0" applyPatternFormats="0" applyAlignmentFormats="0" applyWidthHeightFormats="1" dataCaption="Values" grandTotalCaption="State" updatedVersion="8" minRefreshableVersion="3" useAutoFormatting="1" itemPrintTitles="1" createdVersion="8" indent="0" outline="1" outlineData="1" multipleFieldFilters="0" chartFormat="19" rowHeaderCaption="State">
  <location ref="A1:B12" firstHeaderRow="1" firstDataRow="1" firstDataCol="1"/>
  <pivotFields count="23">
    <pivotField axis="axisRow" showAll="0" measureFilter="1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45"/>
    </i>
    <i>
      <x v="16"/>
    </i>
    <i>
      <x v="51"/>
    </i>
    <i>
      <x v="5"/>
    </i>
    <i>
      <x v="36"/>
    </i>
    <i>
      <x v="35"/>
    </i>
    <i>
      <x v="4"/>
    </i>
    <i>
      <x v="38"/>
    </i>
    <i>
      <x v="15"/>
    </i>
    <i>
      <x v="3"/>
    </i>
    <i t="grand">
      <x/>
    </i>
  </rowItems>
  <colItems count="1">
    <i/>
  </colItems>
  <dataFields count="1">
    <dataField name="Average Length of Stay (Days)" fld="10" subtotal="average" baseField="0" baseItem="0" numFmtId="164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8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8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8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8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8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8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8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8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8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8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C7D3A-D873-48FA-B919-71CD2F5969AB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States">
  <location ref="A3:B13" firstHeaderRow="1" firstDataRow="1" firstDataCol="1"/>
  <pivotFields count="23">
    <pivotField axis="axisRow" showAll="0" measureFilter="1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0">
    <i>
      <x/>
    </i>
    <i>
      <x v="44"/>
    </i>
    <i>
      <x v="38"/>
    </i>
    <i>
      <x v="21"/>
    </i>
    <i>
      <x v="30"/>
    </i>
    <i>
      <x v="35"/>
    </i>
    <i>
      <x v="25"/>
    </i>
    <i>
      <x v="3"/>
    </i>
    <i>
      <x v="36"/>
    </i>
    <i>
      <x v="8"/>
    </i>
  </rowItems>
  <colItems count="1">
    <i/>
  </colItems>
  <dataFields count="1">
    <dataField name=" Discharges Per 1,000 Medicare Advantage Part A Enrollees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3358E-A83A-4F1C-9855-B03758B1F33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States ">
  <location ref="G3:H13" firstHeaderRow="1" firstDataRow="1" firstDataCol="1"/>
  <pivotFields count="23">
    <pivotField axis="axisRow" showAll="0" measureFilter="1" sortType="de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0">
    <i>
      <x v="50"/>
    </i>
    <i>
      <x v="37"/>
    </i>
    <i>
      <x v="23"/>
    </i>
    <i>
      <x v="45"/>
    </i>
    <i>
      <x v="26"/>
    </i>
    <i>
      <x v="46"/>
    </i>
    <i>
      <x v="12"/>
    </i>
    <i>
      <x v="19"/>
    </i>
    <i>
      <x v="42"/>
    </i>
    <i>
      <x v="34"/>
    </i>
  </rowItems>
  <colItems count="1">
    <i/>
  </colItems>
  <dataFields count="1">
    <dataField name="Discharges Per 1,000 Medicare Advantage Part A Enrollees 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07CA1-4F69-4B41-A5CA-3F59600AA56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8" firstHeaderRow="1" firstDataRow="1" firstDataCol="2"/>
  <pivotFields count="6">
    <pivotField axis="axisRow" dataField="1" compact="0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/>
    <pivotField compact="0" showAll="0"/>
    <pivotField compact="0" showAll="0"/>
    <pivotField compact="0" numFmtId="164" showAll="0"/>
    <pivotField axis="axisRow" compact="0" showAll="0">
      <items count="5">
        <item sd="0" x="2"/>
        <item sd="0" x="1"/>
        <item sd="0" x="0"/>
        <item sd="0" x="3"/>
        <item t="default"/>
      </items>
    </pivotField>
  </pivotFields>
  <rowFields count="2">
    <field x="5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C7737-E692-4A6E-B86B-914CCC943B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te">
  <location ref="A3:B14" firstHeaderRow="1" firstDataRow="1" firstDataCol="1"/>
  <pivotFields count="23">
    <pivotField axis="axisRow" showAll="0" measureFilter="1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21"/>
    </i>
    <i>
      <x v="17"/>
    </i>
    <i>
      <x v="41"/>
    </i>
    <i>
      <x v="38"/>
    </i>
    <i>
      <x/>
    </i>
    <i>
      <x v="35"/>
    </i>
    <i>
      <x v="25"/>
    </i>
    <i>
      <x v="3"/>
    </i>
    <i>
      <x v="36"/>
    </i>
    <i>
      <x v="8"/>
    </i>
    <i t="grand">
      <x/>
    </i>
  </rowItems>
  <colItems count="1">
    <i/>
  </colItems>
  <dataFields count="1">
    <dataField name=" Utilization  Rate" fld="15" baseField="0" baseItem="0" numFmtId="165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EED16-2413-4891-921D-623BF659A0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tate">
  <location ref="D3:E14" firstHeaderRow="1" firstDataRow="1" firstDataCol="1"/>
  <pivotFields count="23">
    <pivotField axis="axisRow" showAll="0" measureFilter="1" sortType="de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29"/>
    </i>
    <i>
      <x v="50"/>
    </i>
    <i>
      <x v="26"/>
    </i>
    <i>
      <x v="45"/>
    </i>
    <i>
      <x v="23"/>
    </i>
    <i>
      <x v="12"/>
    </i>
    <i>
      <x v="46"/>
    </i>
    <i>
      <x v="19"/>
    </i>
    <i>
      <x v="42"/>
    </i>
    <i>
      <x v="34"/>
    </i>
    <i t="grand">
      <x/>
    </i>
  </rowItems>
  <colItems count="1">
    <i/>
  </colItems>
  <dataFields count="1">
    <dataField name=" Utilization  Rate" fld="15" baseField="0" baseItem="0" numFmtId="165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D2F12-B9EB-4CAC-9D12-CA43F91CA4C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3:D56" firstHeaderRow="0" firstDataRow="1" firstDataCol="1"/>
  <pivotFields count="23">
    <pivotField axis="axisRow" showAll="0" sortType="descending">
      <items count="53">
        <item x="0"/>
        <item x="1"/>
        <item x="2"/>
        <item x="3"/>
        <item x="4"/>
        <item x="5"/>
        <item x="6"/>
        <item x="7"/>
        <item n="Dist. of Columbia"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53">
    <i>
      <x v="45"/>
    </i>
    <i>
      <x v="16"/>
    </i>
    <i>
      <x v="51"/>
    </i>
    <i>
      <x v="5"/>
    </i>
    <i>
      <x v="36"/>
    </i>
    <i>
      <x v="35"/>
    </i>
    <i>
      <x v="4"/>
    </i>
    <i>
      <x v="38"/>
    </i>
    <i>
      <x v="15"/>
    </i>
    <i>
      <x v="25"/>
    </i>
    <i>
      <x v="3"/>
    </i>
    <i>
      <x v="12"/>
    </i>
    <i>
      <x v="23"/>
    </i>
    <i>
      <x v="2"/>
    </i>
    <i>
      <x v="44"/>
    </i>
    <i>
      <x v="40"/>
    </i>
    <i>
      <x v="9"/>
    </i>
    <i>
      <x v="18"/>
    </i>
    <i>
      <x v="31"/>
    </i>
    <i>
      <x v="14"/>
    </i>
    <i>
      <x v="49"/>
    </i>
    <i>
      <x v="13"/>
    </i>
    <i>
      <x v="34"/>
    </i>
    <i>
      <x v="42"/>
    </i>
    <i>
      <x v="6"/>
    </i>
    <i>
      <x v="22"/>
    </i>
    <i>
      <x v="30"/>
    </i>
    <i>
      <x v="50"/>
    </i>
    <i>
      <x v="28"/>
    </i>
    <i>
      <x v="26"/>
    </i>
    <i>
      <x v="47"/>
    </i>
    <i>
      <x v="41"/>
    </i>
    <i>
      <x v="33"/>
    </i>
    <i>
      <x v="27"/>
    </i>
    <i>
      <x v="37"/>
    </i>
    <i>
      <x v="43"/>
    </i>
    <i>
      <x v="21"/>
    </i>
    <i>
      <x v="24"/>
    </i>
    <i>
      <x/>
    </i>
    <i>
      <x v="17"/>
    </i>
    <i>
      <x v="1"/>
    </i>
    <i>
      <x v="10"/>
    </i>
    <i>
      <x v="32"/>
    </i>
    <i>
      <x v="29"/>
    </i>
    <i>
      <x v="39"/>
    </i>
    <i>
      <x v="20"/>
    </i>
    <i>
      <x v="46"/>
    </i>
    <i>
      <x v="48"/>
    </i>
    <i>
      <x v="19"/>
    </i>
    <i>
      <x v="7"/>
    </i>
    <i>
      <x v="11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 Days Per 1,000 Medicare Advantage Part A Enrollees" fld="8" baseField="0" baseItem="0"/>
    <dataField name="Discharges Per 1,000 Medicare Advantage Part A Enrollees  " fld="4" baseField="0" baseItem="0"/>
    <dataField name="Efficiency Index" fld="21" baseField="0" baseItem="0" numFmtId="2"/>
  </dataFields>
  <formats count="2"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3DFAC-0399-44A9-9C39-8894FABE365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 State">
  <location ref="A3:B55" firstHeaderRow="1" firstDataRow="1" firstDataCol="1"/>
  <pivotFields count="23">
    <pivotField axis="axisRow" showAll="0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3">
        <item x="1"/>
        <item x="50"/>
        <item x="34"/>
        <item x="41"/>
        <item x="45"/>
        <item x="8"/>
        <item x="26"/>
        <item x="7"/>
        <item x="29"/>
        <item x="27"/>
        <item x="12"/>
        <item x="19"/>
        <item x="11"/>
        <item x="39"/>
        <item x="44"/>
        <item x="15"/>
        <item x="31"/>
        <item x="16"/>
        <item x="20"/>
        <item x="48"/>
        <item x="24"/>
        <item x="28"/>
        <item x="3"/>
        <item x="36"/>
        <item x="37"/>
        <item x="6"/>
        <item x="5"/>
        <item x="23"/>
        <item x="18"/>
        <item x="47"/>
        <item x="49"/>
        <item x="21"/>
        <item x="17"/>
        <item x="40"/>
        <item x="51"/>
        <item x="46"/>
        <item x="14"/>
        <item x="2"/>
        <item x="0"/>
        <item x="25"/>
        <item x="30"/>
        <item x="42"/>
        <item x="13"/>
        <item x="33"/>
        <item x="10"/>
        <item x="22"/>
        <item x="35"/>
        <item x="38"/>
        <item x="32"/>
        <item x="43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52">
    <i>
      <x v="39"/>
    </i>
    <i>
      <x v="42"/>
    </i>
    <i>
      <x v="50"/>
    </i>
    <i>
      <x v="27"/>
    </i>
    <i>
      <x v="46"/>
    </i>
    <i>
      <x v="23"/>
    </i>
    <i>
      <x v="26"/>
    </i>
    <i>
      <x v="19"/>
    </i>
    <i>
      <x v="45"/>
    </i>
    <i>
      <x v="15"/>
    </i>
    <i>
      <x v="12"/>
    </i>
    <i>
      <x v="16"/>
    </i>
    <i>
      <x v="51"/>
    </i>
    <i>
      <x v="17"/>
    </i>
    <i>
      <x v="3"/>
    </i>
    <i>
      <x v="29"/>
    </i>
    <i>
      <x v="36"/>
    </i>
    <i>
      <x v="49"/>
    </i>
    <i>
      <x v="48"/>
    </i>
    <i>
      <x/>
    </i>
    <i>
      <x v="14"/>
    </i>
    <i>
      <x v="37"/>
    </i>
    <i>
      <x v="31"/>
    </i>
    <i>
      <x v="5"/>
    </i>
    <i>
      <x v="25"/>
    </i>
    <i>
      <x v="34"/>
    </i>
    <i>
      <x v="41"/>
    </i>
    <i>
      <x v="35"/>
    </i>
    <i>
      <x v="33"/>
    </i>
    <i>
      <x v="18"/>
    </i>
    <i>
      <x v="24"/>
    </i>
    <i>
      <x v="13"/>
    </i>
    <i>
      <x v="22"/>
    </i>
    <i>
      <x v="2"/>
    </i>
    <i>
      <x v="21"/>
    </i>
    <i>
      <x v="43"/>
    </i>
    <i>
      <x v="20"/>
    </i>
    <i>
      <x v="32"/>
    </i>
    <i>
      <x v="44"/>
    </i>
    <i>
      <x v="6"/>
    </i>
    <i>
      <x v="10"/>
    </i>
    <i>
      <x v="38"/>
    </i>
    <i>
      <x v="47"/>
    </i>
    <i>
      <x v="4"/>
    </i>
    <i>
      <x v="9"/>
    </i>
    <i>
      <x v="1"/>
    </i>
    <i>
      <x v="40"/>
    </i>
    <i>
      <x v="30"/>
    </i>
    <i>
      <x v="7"/>
    </i>
    <i>
      <x v="11"/>
    </i>
    <i>
      <x v="28"/>
    </i>
    <i>
      <x v="8"/>
    </i>
  </rowItems>
  <colItems count="1">
    <i/>
  </colItems>
  <dataFields count="1">
    <dataField name=" ER discharge rate" fld="17" baseField="0" baseItem="0" numFmtId="10"/>
  </dataFields>
  <formats count="2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2372E-084C-485F-9549-24D3413DB4B7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 State">
  <location ref="K1:L11" firstHeaderRow="1" firstDataRow="1" firstDataCol="1"/>
  <pivotFields count="23">
    <pivotField axis="axisRow" showAll="0" measureFilter="1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3">
        <item x="1"/>
        <item x="50"/>
        <item x="34"/>
        <item x="41"/>
        <item x="45"/>
        <item x="8"/>
        <item x="26"/>
        <item x="7"/>
        <item x="29"/>
        <item x="27"/>
        <item x="12"/>
        <item x="19"/>
        <item x="11"/>
        <item x="39"/>
        <item x="44"/>
        <item x="15"/>
        <item x="31"/>
        <item x="16"/>
        <item x="20"/>
        <item x="48"/>
        <item x="24"/>
        <item x="28"/>
        <item x="3"/>
        <item x="36"/>
        <item x="37"/>
        <item x="6"/>
        <item x="5"/>
        <item x="23"/>
        <item x="18"/>
        <item x="47"/>
        <item x="49"/>
        <item x="21"/>
        <item x="17"/>
        <item x="40"/>
        <item x="51"/>
        <item x="46"/>
        <item x="14"/>
        <item x="2"/>
        <item x="0"/>
        <item x="25"/>
        <item x="30"/>
        <item x="42"/>
        <item x="13"/>
        <item x="33"/>
        <item x="10"/>
        <item x="22"/>
        <item x="35"/>
        <item x="38"/>
        <item x="32"/>
        <item x="43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0">
    <i>
      <x v="39"/>
    </i>
    <i>
      <x v="42"/>
    </i>
    <i>
      <x v="50"/>
    </i>
    <i>
      <x v="27"/>
    </i>
    <i>
      <x v="46"/>
    </i>
    <i>
      <x v="23"/>
    </i>
    <i>
      <x v="26"/>
    </i>
    <i>
      <x v="19"/>
    </i>
    <i>
      <x v="45"/>
    </i>
    <i>
      <x v="15"/>
    </i>
  </rowItems>
  <colItems count="1">
    <i/>
  </colItems>
  <dataFields count="1">
    <dataField name=" ER discharge rate" fld="17" baseField="0" baseItem="0" numFmtId="10"/>
  </dataFields>
  <formats count="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DD7A6-230E-4F4F-9634-9632572DF944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 State">
  <location ref="A1:B11" firstHeaderRow="1" firstDataRow="1" firstDataCol="1"/>
  <pivotFields count="23">
    <pivotField axis="axisRow" showAll="0" measureFilter="1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3">
        <item x="1"/>
        <item x="50"/>
        <item x="34"/>
        <item x="41"/>
        <item x="45"/>
        <item x="8"/>
        <item x="26"/>
        <item x="7"/>
        <item x="29"/>
        <item x="27"/>
        <item x="12"/>
        <item x="19"/>
        <item x="11"/>
        <item x="39"/>
        <item x="44"/>
        <item x="15"/>
        <item x="31"/>
        <item x="16"/>
        <item x="20"/>
        <item x="48"/>
        <item x="24"/>
        <item x="28"/>
        <item x="3"/>
        <item x="36"/>
        <item x="37"/>
        <item x="6"/>
        <item x="5"/>
        <item x="23"/>
        <item x="18"/>
        <item x="47"/>
        <item x="49"/>
        <item x="21"/>
        <item x="17"/>
        <item x="40"/>
        <item x="51"/>
        <item x="46"/>
        <item x="14"/>
        <item x="2"/>
        <item x="0"/>
        <item x="25"/>
        <item x="30"/>
        <item x="42"/>
        <item x="13"/>
        <item x="33"/>
        <item x="10"/>
        <item x="22"/>
        <item x="35"/>
        <item x="38"/>
        <item x="32"/>
        <item x="43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0">
    <i>
      <x v="47"/>
    </i>
    <i>
      <x v="4"/>
    </i>
    <i>
      <x v="9"/>
    </i>
    <i>
      <x v="1"/>
    </i>
    <i>
      <x v="40"/>
    </i>
    <i>
      <x v="30"/>
    </i>
    <i>
      <x v="7"/>
    </i>
    <i>
      <x v="11"/>
    </i>
    <i>
      <x v="28"/>
    </i>
    <i>
      <x v="8"/>
    </i>
  </rowItems>
  <colItems count="1">
    <i/>
  </colItems>
  <dataFields count="1">
    <dataField name=" ER discharge rate" fld="17" baseField="0" baseItem="0" numFmtId="10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46C0-24F7-4D61-BBBF-DAE3AC51EEB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 state">
  <location ref="A3:D56" firstHeaderRow="0" firstDataRow="1" firstDataCol="1"/>
  <pivotFields count="23">
    <pivotField axis="axisRow" showAll="0" sortType="a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Discharged Dead" fld="11" baseField="0" baseItem="0"/>
    <dataField name=" Total Discharges" fld="3" baseField="0" baseItem="0"/>
    <dataField name="Mortality Rate" fld="19" baseField="0" baseItem="0" numFmtId="10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0C623D-079F-4973-B532-68F5734D6561}" autoFormatId="16" applyNumberFormats="0" applyBorderFormats="0" applyFontFormats="0" applyPatternFormats="0" applyAlignmentFormats="0" applyWidthHeightFormats="0">
  <queryTableRefresh nextId="17">
    <queryTableFields count="13">
      <queryTableField id="1" name="Area of Residence" tableColumnId="1"/>
      <queryTableField id="2" name="Total Medicare Advantage Part A Enrollees²" tableColumnId="2"/>
      <queryTableField id="3" name="Total Persons With Utilization" tableColumnId="3"/>
      <queryTableField id="13" dataBound="0" tableColumnId="13"/>
      <queryTableField id="4" name="Total Discharges" tableColumnId="4"/>
      <queryTableField id="5" name="Discharges Per 1,000 Medicare Advantage Part A Enrollees" tableColumnId="5"/>
      <queryTableField id="6" name="Discharges per 1,000 Persons With Utilization" tableColumnId="6"/>
      <queryTableField id="7" name="Total Discharges Beginning with Emergency Room Visit³" tableColumnId="7"/>
      <queryTableField id="8" name="Total Days of Care" tableColumnId="8"/>
      <queryTableField id="9" name="Total Days Per 1,000 Medicare Advantage Part A Enrollees" tableColumnId="9"/>
      <queryTableField id="10" name="Total Days Per Person With Utilization" tableColumnId="10"/>
      <queryTableField id="11" name="Total Days Per Discharge" tableColumnId="11"/>
      <queryTableField id="12" name="Discharged Dead⁴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B520B-5C36-47E7-98B6-EAF8A9743499}" name="MDCR_INPT_HOSP_MA_7_CPS_13UMI" displayName="MDCR_INPT_HOSP_MA_7_CPS_13UMI" ref="A1:M53" tableType="queryTable" totalsRowShown="0" headerRowDxfId="22">
  <autoFilter ref="A1:M53" xr:uid="{159B520B-5C36-47E7-98B6-EAF8A9743499}"/>
  <sortState xmlns:xlrd2="http://schemas.microsoft.com/office/spreadsheetml/2017/richdata2" ref="A2:M53">
    <sortCondition ref="A2:A53"/>
  </sortState>
  <tableColumns count="13">
    <tableColumn id="1" xr3:uid="{81235BD8-F0D1-4E03-85D4-94ACE6EC61A4}" uniqueName="1" name="Area of Residence" queryTableFieldId="1" dataDxfId="21"/>
    <tableColumn id="2" xr3:uid="{4B7A9F16-BF60-4B6B-8BE0-A2812736032A}" uniqueName="2" name="Total Medicare Advantage Part A Enrollees²" queryTableFieldId="2"/>
    <tableColumn id="3" xr3:uid="{4B72C5FB-3C37-4B5C-B923-212B760E4C59}" uniqueName="3" name="Total Persons With Utilization" queryTableFieldId="3"/>
    <tableColumn id="13" xr3:uid="{19D4C5A7-2843-4911-B0E6-082143136197}" uniqueName="13" name="Utilization Rate" queryTableFieldId="13" dataDxfId="20">
      <calculatedColumnFormula>MDCR_INPT_HOSP_MA_7_CPS_13UMI[[#This Row],[Total Persons With Utilization]]/MDCR_INPT_HOSP_MA_7_CPS_13UMI[[#This Row],[Total Medicare Advantage Part A Enrollees²]]*100</calculatedColumnFormula>
    </tableColumn>
    <tableColumn id="4" xr3:uid="{764CE274-F50B-466E-96B9-6E30817AA6F5}" uniqueName="4" name="Total Discharges" queryTableFieldId="4"/>
    <tableColumn id="5" xr3:uid="{E8472064-789F-4012-A131-9F6973AF8C07}" uniqueName="5" name="Discharges Per 1,000 Medicare Advantage Part A Enrollees" queryTableFieldId="5"/>
    <tableColumn id="6" xr3:uid="{48A970D8-E32C-49F9-AD50-263C1C230AED}" uniqueName="6" name="Discharges per 1,000 Persons With Utilization" queryTableFieldId="6"/>
    <tableColumn id="7" xr3:uid="{D259EDAF-824E-45C0-9806-439FB0114262}" uniqueName="7" name="Total Discharges Beginning with Emergency Room Visit³" queryTableFieldId="7"/>
    <tableColumn id="8" xr3:uid="{5CDE0405-329C-49A4-842E-3982B08C514D}" uniqueName="8" name="Total Days of Care" queryTableFieldId="8"/>
    <tableColumn id="9" xr3:uid="{C7C4065E-D493-488E-BFDC-22376ABDEB27}" uniqueName="9" name="Total Days Per 1,000 Medicare Advantage Part A Enrollees" queryTableFieldId="9"/>
    <tableColumn id="10" xr3:uid="{B00EFCC7-1D6C-466B-88E8-A0CADA1B850B}" uniqueName="10" name="Total Days Per Person With Utilization" queryTableFieldId="10"/>
    <tableColumn id="11" xr3:uid="{16149F27-8462-4C54-BDF7-7BAEADA653F3}" uniqueName="11" name="Total Days Per Discharge" queryTableFieldId="11"/>
    <tableColumn id="12" xr3:uid="{A563638C-68F1-4088-B06B-D414AE86E129}" uniqueName="12" name="Discharged Dead⁴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22F6-895C-4B37-9226-6A22420DD170}">
  <sheetPr>
    <tabColor theme="0" tint="-0.499984740745262"/>
  </sheetPr>
  <dimension ref="A1:M53"/>
  <sheetViews>
    <sheetView zoomScale="110" zoomScaleNormal="110" workbookViewId="0">
      <selection activeCell="F14" sqref="F14"/>
    </sheetView>
  </sheetViews>
  <sheetFormatPr defaultRowHeight="14.5" x14ac:dyDescent="0.35"/>
  <cols>
    <col min="1" max="1" width="18.08984375" bestFit="1" customWidth="1"/>
    <col min="2" max="2" width="38.90625" bestFit="1" customWidth="1"/>
    <col min="3" max="3" width="27.81640625" bestFit="1" customWidth="1"/>
    <col min="4" max="4" width="16" bestFit="1" customWidth="1"/>
    <col min="5" max="5" width="16.90625" bestFit="1" customWidth="1"/>
    <col min="6" max="6" width="51.6328125" bestFit="1" customWidth="1"/>
    <col min="7" max="7" width="41.26953125" bestFit="1" customWidth="1"/>
    <col min="8" max="8" width="49.81640625" bestFit="1" customWidth="1"/>
    <col min="9" max="9" width="18" bestFit="1" customWidth="1"/>
    <col min="10" max="10" width="50.90625" bestFit="1" customWidth="1"/>
    <col min="11" max="11" width="34.54296875" bestFit="1" customWidth="1"/>
    <col min="12" max="12" width="23.7265625" bestFit="1" customWidth="1"/>
    <col min="13" max="13" width="18.0898437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68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>
        <v>588194</v>
      </c>
      <c r="C2">
        <v>88688</v>
      </c>
      <c r="D2" s="4">
        <f>MDCR_INPT_HOSP_MA_7_CPS_13UMI[[#This Row],[Total Persons With Utilization]]/MDCR_INPT_HOSP_MA_7_CPS_13UMI[[#This Row],[Total Medicare Advantage Part A Enrollees²]]*100</f>
        <v>15.078018476897078</v>
      </c>
      <c r="E2">
        <v>132442</v>
      </c>
      <c r="F2">
        <v>225</v>
      </c>
      <c r="G2">
        <v>1493</v>
      </c>
      <c r="H2">
        <v>102393</v>
      </c>
      <c r="I2">
        <v>874618</v>
      </c>
      <c r="J2">
        <v>1486.96</v>
      </c>
      <c r="K2">
        <v>9.86</v>
      </c>
      <c r="L2">
        <v>6.6037812778423763</v>
      </c>
      <c r="M2">
        <v>4923</v>
      </c>
    </row>
    <row r="3" spans="1:13" x14ac:dyDescent="0.35">
      <c r="A3" t="s">
        <v>13</v>
      </c>
      <c r="B3">
        <v>2633</v>
      </c>
      <c r="C3">
        <v>293</v>
      </c>
      <c r="D3" s="4">
        <f>MDCR_INPT_HOSP_MA_7_CPS_13UMI[[#This Row],[Total Persons With Utilization]]/MDCR_INPT_HOSP_MA_7_CPS_13UMI[[#This Row],[Total Medicare Advantage Part A Enrollees²]]*100</f>
        <v>11.127990884922143</v>
      </c>
      <c r="E3">
        <v>441</v>
      </c>
      <c r="F3">
        <v>168</v>
      </c>
      <c r="G3">
        <v>1505</v>
      </c>
      <c r="H3">
        <v>374</v>
      </c>
      <c r="I3">
        <v>2955</v>
      </c>
      <c r="J3">
        <v>1122.47</v>
      </c>
      <c r="K3">
        <v>10.09</v>
      </c>
      <c r="L3">
        <v>6.7006802721088432</v>
      </c>
      <c r="M3">
        <v>19</v>
      </c>
    </row>
    <row r="4" spans="1:13" x14ac:dyDescent="0.35">
      <c r="A4" t="s">
        <v>14</v>
      </c>
      <c r="B4">
        <v>676493</v>
      </c>
      <c r="C4">
        <v>89376</v>
      </c>
      <c r="D4" s="4">
        <f>MDCR_INPT_HOSP_MA_7_CPS_13UMI[[#This Row],[Total Persons With Utilization]]/MDCR_INPT_HOSP_MA_7_CPS_13UMI[[#This Row],[Total Medicare Advantage Part A Enrollees²]]*100</f>
        <v>13.211666639566117</v>
      </c>
      <c r="E4">
        <v>132170</v>
      </c>
      <c r="F4">
        <v>195</v>
      </c>
      <c r="G4">
        <v>1479</v>
      </c>
      <c r="H4">
        <v>107025</v>
      </c>
      <c r="I4">
        <v>771735</v>
      </c>
      <c r="J4">
        <v>1140.79</v>
      </c>
      <c r="K4">
        <v>8.6300000000000008</v>
      </c>
      <c r="L4">
        <v>5.8389574033441782</v>
      </c>
      <c r="M4">
        <v>5563</v>
      </c>
    </row>
    <row r="5" spans="1:13" x14ac:dyDescent="0.35">
      <c r="A5" t="s">
        <v>15</v>
      </c>
      <c r="B5">
        <v>247249</v>
      </c>
      <c r="C5">
        <v>38166</v>
      </c>
      <c r="D5" s="4">
        <f>MDCR_INPT_HOSP_MA_7_CPS_13UMI[[#This Row],[Total Persons With Utilization]]/MDCR_INPT_HOSP_MA_7_CPS_13UMI[[#This Row],[Total Medicare Advantage Part A Enrollees²]]*100</f>
        <v>15.436260611771937</v>
      </c>
      <c r="E5">
        <v>58207</v>
      </c>
      <c r="F5">
        <v>235</v>
      </c>
      <c r="G5">
        <v>1525</v>
      </c>
      <c r="H5">
        <v>44696</v>
      </c>
      <c r="I5">
        <v>334879</v>
      </c>
      <c r="J5">
        <v>1354.42</v>
      </c>
      <c r="K5">
        <v>8.77</v>
      </c>
      <c r="L5">
        <v>5.7532427371278372</v>
      </c>
      <c r="M5">
        <v>1998</v>
      </c>
    </row>
    <row r="6" spans="1:13" x14ac:dyDescent="0.35">
      <c r="A6" t="s">
        <v>16</v>
      </c>
      <c r="B6">
        <v>3203822</v>
      </c>
      <c r="C6">
        <v>355399</v>
      </c>
      <c r="D6" s="4">
        <f>MDCR_INPT_HOSP_MA_7_CPS_13UMI[[#This Row],[Total Persons With Utilization]]/MDCR_INPT_HOSP_MA_7_CPS_13UMI[[#This Row],[Total Medicare Advantage Part A Enrollees²]]*100</f>
        <v>11.09296958445257</v>
      </c>
      <c r="E6">
        <v>517290</v>
      </c>
      <c r="F6">
        <v>161</v>
      </c>
      <c r="G6">
        <v>1456</v>
      </c>
      <c r="H6">
        <v>429005</v>
      </c>
      <c r="I6">
        <v>2940860</v>
      </c>
      <c r="J6">
        <v>917.92</v>
      </c>
      <c r="K6">
        <v>8.27</v>
      </c>
      <c r="L6">
        <v>5.6851282646097934</v>
      </c>
      <c r="M6">
        <v>24077</v>
      </c>
    </row>
    <row r="7" spans="1:13" x14ac:dyDescent="0.35">
      <c r="A7" t="s">
        <v>17</v>
      </c>
      <c r="B7">
        <v>474146</v>
      </c>
      <c r="C7">
        <v>55488</v>
      </c>
      <c r="D7" s="4">
        <f>MDCR_INPT_HOSP_MA_7_CPS_13UMI[[#This Row],[Total Persons With Utilization]]/MDCR_INPT_HOSP_MA_7_CPS_13UMI[[#This Row],[Total Medicare Advantage Part A Enrollees²]]*100</f>
        <v>11.702724477270714</v>
      </c>
      <c r="E7">
        <v>77668</v>
      </c>
      <c r="F7">
        <v>164</v>
      </c>
      <c r="G7">
        <v>1400</v>
      </c>
      <c r="H7">
        <v>60892</v>
      </c>
      <c r="I7">
        <v>432416</v>
      </c>
      <c r="J7">
        <v>911.99</v>
      </c>
      <c r="K7">
        <v>7.79</v>
      </c>
      <c r="L7">
        <v>5.5674924035638877</v>
      </c>
      <c r="M7">
        <v>3076</v>
      </c>
    </row>
    <row r="8" spans="1:13" x14ac:dyDescent="0.35">
      <c r="A8" t="s">
        <v>18</v>
      </c>
      <c r="B8">
        <v>364421</v>
      </c>
      <c r="C8">
        <v>47625</v>
      </c>
      <c r="D8" s="4">
        <f>MDCR_INPT_HOSP_MA_7_CPS_13UMI[[#This Row],[Total Persons With Utilization]]/MDCR_INPT_HOSP_MA_7_CPS_13UMI[[#This Row],[Total Medicare Advantage Part A Enrollees²]]*100</f>
        <v>13.068676064222423</v>
      </c>
      <c r="E8">
        <v>71924</v>
      </c>
      <c r="F8">
        <v>197</v>
      </c>
      <c r="G8">
        <v>1510</v>
      </c>
      <c r="H8">
        <v>58991</v>
      </c>
      <c r="I8">
        <v>440901</v>
      </c>
      <c r="J8">
        <v>1209.8699999999999</v>
      </c>
      <c r="K8">
        <v>9.26</v>
      </c>
      <c r="L8">
        <v>6.1300956565263336</v>
      </c>
      <c r="M8">
        <v>2866</v>
      </c>
    </row>
    <row r="9" spans="1:13" x14ac:dyDescent="0.35">
      <c r="A9" t="s">
        <v>19</v>
      </c>
      <c r="B9">
        <v>61979</v>
      </c>
      <c r="C9">
        <v>8693</v>
      </c>
      <c r="D9" s="4">
        <f>MDCR_INPT_HOSP_MA_7_CPS_13UMI[[#This Row],[Total Persons With Utilization]]/MDCR_INPT_HOSP_MA_7_CPS_13UMI[[#This Row],[Total Medicare Advantage Part A Enrollees²]]*100</f>
        <v>14.025718388486421</v>
      </c>
      <c r="E9">
        <v>13079</v>
      </c>
      <c r="F9">
        <v>211</v>
      </c>
      <c r="G9">
        <v>1505</v>
      </c>
      <c r="H9">
        <v>11281</v>
      </c>
      <c r="I9">
        <v>99859</v>
      </c>
      <c r="J9">
        <v>1611.17</v>
      </c>
      <c r="K9">
        <v>11.49</v>
      </c>
      <c r="L9">
        <v>7.6350638428014372</v>
      </c>
      <c r="M9">
        <v>511</v>
      </c>
    </row>
    <row r="10" spans="1:13" x14ac:dyDescent="0.35">
      <c r="A10" t="s">
        <v>20</v>
      </c>
      <c r="B10">
        <v>26530</v>
      </c>
      <c r="C10">
        <v>4297</v>
      </c>
      <c r="D10" s="4">
        <f>MDCR_INPT_HOSP_MA_7_CPS_13UMI[[#This Row],[Total Persons With Utilization]]/MDCR_INPT_HOSP_MA_7_CPS_13UMI[[#This Row],[Total Medicare Advantage Part A Enrollees²]]*100</f>
        <v>16.196758386732</v>
      </c>
      <c r="E10">
        <v>7119</v>
      </c>
      <c r="F10">
        <v>268</v>
      </c>
      <c r="G10">
        <v>1657</v>
      </c>
      <c r="H10">
        <v>6231</v>
      </c>
      <c r="I10">
        <v>62321</v>
      </c>
      <c r="J10">
        <v>2349.0700000000002</v>
      </c>
      <c r="K10">
        <v>14.5</v>
      </c>
      <c r="L10">
        <v>8.7541789577187803</v>
      </c>
      <c r="M10">
        <v>385</v>
      </c>
    </row>
    <row r="11" spans="1:13" x14ac:dyDescent="0.35">
      <c r="A11" t="s">
        <v>21</v>
      </c>
      <c r="B11">
        <v>2600257</v>
      </c>
      <c r="C11">
        <v>367752</v>
      </c>
      <c r="D11" s="4">
        <f>MDCR_INPT_HOSP_MA_7_CPS_13UMI[[#This Row],[Total Persons With Utilization]]/MDCR_INPT_HOSP_MA_7_CPS_13UMI[[#This Row],[Total Medicare Advantage Part A Enrollees²]]*100</f>
        <v>14.14290972007767</v>
      </c>
      <c r="E11">
        <v>562993</v>
      </c>
      <c r="F11">
        <v>217</v>
      </c>
      <c r="G11">
        <v>1531</v>
      </c>
      <c r="H11">
        <v>467699</v>
      </c>
      <c r="I11">
        <v>3328274</v>
      </c>
      <c r="J11">
        <v>1279.98</v>
      </c>
      <c r="K11">
        <v>9.0500000000000007</v>
      </c>
      <c r="L11">
        <v>5.91175023490523</v>
      </c>
      <c r="M11">
        <v>14817</v>
      </c>
    </row>
    <row r="12" spans="1:13" x14ac:dyDescent="0.35">
      <c r="A12" t="s">
        <v>22</v>
      </c>
      <c r="B12">
        <v>931049</v>
      </c>
      <c r="C12">
        <v>134819</v>
      </c>
      <c r="D12" s="4">
        <f>MDCR_INPT_HOSP_MA_7_CPS_13UMI[[#This Row],[Total Persons With Utilization]]/MDCR_INPT_HOSP_MA_7_CPS_13UMI[[#This Row],[Total Medicare Advantage Part A Enrollees²]]*100</f>
        <v>14.480333473318804</v>
      </c>
      <c r="E12">
        <v>207197</v>
      </c>
      <c r="F12">
        <v>223</v>
      </c>
      <c r="G12">
        <v>1537</v>
      </c>
      <c r="H12">
        <v>170280</v>
      </c>
      <c r="I12">
        <v>1391255</v>
      </c>
      <c r="J12">
        <v>1494.29</v>
      </c>
      <c r="K12">
        <v>10.32</v>
      </c>
      <c r="L12">
        <v>6.7146483781135826</v>
      </c>
      <c r="M12">
        <v>7458</v>
      </c>
    </row>
    <row r="13" spans="1:13" x14ac:dyDescent="0.35">
      <c r="A13" t="s">
        <v>23</v>
      </c>
      <c r="B13">
        <v>151349</v>
      </c>
      <c r="C13">
        <v>16907</v>
      </c>
      <c r="D13" s="4">
        <f>MDCR_INPT_HOSP_MA_7_CPS_13UMI[[#This Row],[Total Persons With Utilization]]/MDCR_INPT_HOSP_MA_7_CPS_13UMI[[#This Row],[Total Medicare Advantage Part A Enrollees²]]*100</f>
        <v>11.170869976015698</v>
      </c>
      <c r="E13">
        <v>24086</v>
      </c>
      <c r="F13">
        <v>159</v>
      </c>
      <c r="G13">
        <v>1425</v>
      </c>
      <c r="H13">
        <v>20959</v>
      </c>
      <c r="I13">
        <v>189384</v>
      </c>
      <c r="J13">
        <v>1251.31</v>
      </c>
      <c r="K13">
        <v>11.2</v>
      </c>
      <c r="L13">
        <v>7.862824877522212</v>
      </c>
      <c r="M13">
        <v>1207</v>
      </c>
    </row>
    <row r="14" spans="1:13" x14ac:dyDescent="0.35">
      <c r="A14" t="s">
        <v>24</v>
      </c>
      <c r="B14">
        <v>161847</v>
      </c>
      <c r="C14">
        <v>15599</v>
      </c>
      <c r="D14" s="4">
        <f>MDCR_INPT_HOSP_MA_7_CPS_13UMI[[#This Row],[Total Persons With Utilization]]/MDCR_INPT_HOSP_MA_7_CPS_13UMI[[#This Row],[Total Medicare Advantage Part A Enrollees²]]*100</f>
        <v>9.6381150098549853</v>
      </c>
      <c r="E14">
        <v>20348</v>
      </c>
      <c r="F14">
        <v>126</v>
      </c>
      <c r="G14">
        <v>1304</v>
      </c>
      <c r="H14">
        <v>15188</v>
      </c>
      <c r="I14">
        <v>118235</v>
      </c>
      <c r="J14">
        <v>730.54</v>
      </c>
      <c r="K14">
        <v>7.58</v>
      </c>
      <c r="L14">
        <v>5.8106447808138393</v>
      </c>
      <c r="M14">
        <v>847</v>
      </c>
    </row>
    <row r="15" spans="1:13" x14ac:dyDescent="0.35">
      <c r="A15" t="s">
        <v>25</v>
      </c>
      <c r="B15">
        <v>880389</v>
      </c>
      <c r="C15">
        <v>125530</v>
      </c>
      <c r="D15" s="4">
        <f>MDCR_INPT_HOSP_MA_7_CPS_13UMI[[#This Row],[Total Persons With Utilization]]/MDCR_INPT_HOSP_MA_7_CPS_13UMI[[#This Row],[Total Medicare Advantage Part A Enrollees²]]*100</f>
        <v>14.258469835493173</v>
      </c>
      <c r="E15">
        <v>193801</v>
      </c>
      <c r="F15">
        <v>220</v>
      </c>
      <c r="G15">
        <v>1544</v>
      </c>
      <c r="H15">
        <v>156335</v>
      </c>
      <c r="I15">
        <v>1171422</v>
      </c>
      <c r="J15">
        <v>1330.57</v>
      </c>
      <c r="K15">
        <v>9.33</v>
      </c>
      <c r="L15">
        <v>6.0444579749330503</v>
      </c>
      <c r="M15">
        <v>7505</v>
      </c>
    </row>
    <row r="16" spans="1:13" x14ac:dyDescent="0.35">
      <c r="A16" t="s">
        <v>26</v>
      </c>
      <c r="B16">
        <v>578467</v>
      </c>
      <c r="C16">
        <v>84197</v>
      </c>
      <c r="D16" s="4">
        <f>MDCR_INPT_HOSP_MA_7_CPS_13UMI[[#This Row],[Total Persons With Utilization]]/MDCR_INPT_HOSP_MA_7_CPS_13UMI[[#This Row],[Total Medicare Advantage Part A Enrollees²]]*100</f>
        <v>14.555195024089535</v>
      </c>
      <c r="E16">
        <v>125164</v>
      </c>
      <c r="F16">
        <v>216</v>
      </c>
      <c r="G16">
        <v>1487</v>
      </c>
      <c r="H16">
        <v>96793</v>
      </c>
      <c r="I16">
        <v>745284</v>
      </c>
      <c r="J16">
        <v>1288.3800000000001</v>
      </c>
      <c r="K16">
        <v>8.85</v>
      </c>
      <c r="L16">
        <v>5.9544597488095619</v>
      </c>
      <c r="M16">
        <v>5290</v>
      </c>
    </row>
    <row r="17" spans="1:13" x14ac:dyDescent="0.35">
      <c r="A17" t="s">
        <v>27</v>
      </c>
      <c r="B17">
        <v>206927</v>
      </c>
      <c r="C17">
        <v>23707</v>
      </c>
      <c r="D17" s="4">
        <f>MDCR_INPT_HOSP_MA_7_CPS_13UMI[[#This Row],[Total Persons With Utilization]]/MDCR_INPT_HOSP_MA_7_CPS_13UMI[[#This Row],[Total Medicare Advantage Part A Enrollees²]]*100</f>
        <v>11.456697289382246</v>
      </c>
      <c r="E17">
        <v>33551</v>
      </c>
      <c r="F17">
        <v>162</v>
      </c>
      <c r="G17">
        <v>1415</v>
      </c>
      <c r="H17">
        <v>24838</v>
      </c>
      <c r="I17">
        <v>192823</v>
      </c>
      <c r="J17">
        <v>931.84</v>
      </c>
      <c r="K17">
        <v>8.1300000000000008</v>
      </c>
      <c r="L17">
        <v>5.7471610384191232</v>
      </c>
      <c r="M17">
        <v>1475</v>
      </c>
    </row>
    <row r="18" spans="1:13" x14ac:dyDescent="0.35">
      <c r="A18" t="s">
        <v>28</v>
      </c>
      <c r="B18">
        <v>162510</v>
      </c>
      <c r="C18">
        <v>23199</v>
      </c>
      <c r="D18" s="4">
        <f>MDCR_INPT_HOSP_MA_7_CPS_13UMI[[#This Row],[Total Persons With Utilization]]/MDCR_INPT_HOSP_MA_7_CPS_13UMI[[#This Row],[Total Medicare Advantage Part A Enrollees²]]*100</f>
        <v>14.275429204356655</v>
      </c>
      <c r="E18">
        <v>34289</v>
      </c>
      <c r="F18">
        <v>211</v>
      </c>
      <c r="G18">
        <v>1478</v>
      </c>
      <c r="H18">
        <v>25695</v>
      </c>
      <c r="I18">
        <v>180567</v>
      </c>
      <c r="J18">
        <v>1111.1199999999999</v>
      </c>
      <c r="K18">
        <v>7.78</v>
      </c>
      <c r="L18">
        <v>5.2660328385196422</v>
      </c>
      <c r="M18">
        <v>1296</v>
      </c>
    </row>
    <row r="19" spans="1:13" x14ac:dyDescent="0.35">
      <c r="A19" t="s">
        <v>29</v>
      </c>
      <c r="B19">
        <v>460072</v>
      </c>
      <c r="C19">
        <v>67892</v>
      </c>
      <c r="D19" s="4">
        <f>MDCR_INPT_HOSP_MA_7_CPS_13UMI[[#This Row],[Total Persons With Utilization]]/MDCR_INPT_HOSP_MA_7_CPS_13UMI[[#This Row],[Total Medicare Advantage Part A Enrollees²]]*100</f>
        <v>14.756820671547063</v>
      </c>
      <c r="E19">
        <v>102790</v>
      </c>
      <c r="F19">
        <v>223</v>
      </c>
      <c r="G19">
        <v>1514</v>
      </c>
      <c r="H19">
        <v>78688</v>
      </c>
      <c r="I19">
        <v>685107</v>
      </c>
      <c r="J19">
        <v>1489.13</v>
      </c>
      <c r="K19">
        <v>10.09</v>
      </c>
      <c r="L19">
        <v>6.6651133378733336</v>
      </c>
      <c r="M19">
        <v>4363</v>
      </c>
    </row>
    <row r="20" spans="1:13" x14ac:dyDescent="0.35">
      <c r="A20" t="s">
        <v>30</v>
      </c>
      <c r="B20">
        <v>456909</v>
      </c>
      <c r="C20">
        <v>63010</v>
      </c>
      <c r="D20" s="4">
        <f>MDCR_INPT_HOSP_MA_7_CPS_13UMI[[#This Row],[Total Persons With Utilization]]/MDCR_INPT_HOSP_MA_7_CPS_13UMI[[#This Row],[Total Medicare Advantage Part A Enrollees²]]*100</f>
        <v>13.79049219866538</v>
      </c>
      <c r="E20">
        <v>93573</v>
      </c>
      <c r="F20">
        <v>205</v>
      </c>
      <c r="G20">
        <v>1485</v>
      </c>
      <c r="H20">
        <v>75137</v>
      </c>
      <c r="I20">
        <v>553852</v>
      </c>
      <c r="J20">
        <v>1212.17</v>
      </c>
      <c r="K20">
        <v>8.7899999999999991</v>
      </c>
      <c r="L20">
        <v>5.9189296057623464</v>
      </c>
      <c r="M20">
        <v>3709</v>
      </c>
    </row>
    <row r="21" spans="1:13" x14ac:dyDescent="0.35">
      <c r="A21" t="s">
        <v>31</v>
      </c>
      <c r="B21">
        <v>187846</v>
      </c>
      <c r="C21">
        <v>16825</v>
      </c>
      <c r="D21" s="4">
        <f>MDCR_INPT_HOSP_MA_7_CPS_13UMI[[#This Row],[Total Persons With Utilization]]/MDCR_INPT_HOSP_MA_7_CPS_13UMI[[#This Row],[Total Medicare Advantage Part A Enrollees²]]*100</f>
        <v>8.9568050424283712</v>
      </c>
      <c r="E21">
        <v>22550</v>
      </c>
      <c r="F21">
        <v>120</v>
      </c>
      <c r="G21">
        <v>1340</v>
      </c>
      <c r="H21">
        <v>16652</v>
      </c>
      <c r="I21">
        <v>167711</v>
      </c>
      <c r="J21">
        <v>892.81</v>
      </c>
      <c r="K21">
        <v>9.9700000000000006</v>
      </c>
      <c r="L21">
        <v>7.4372949002217297</v>
      </c>
      <c r="M21">
        <v>920</v>
      </c>
    </row>
    <row r="22" spans="1:13" x14ac:dyDescent="0.35">
      <c r="A22" t="s">
        <v>32</v>
      </c>
      <c r="B22">
        <v>208655</v>
      </c>
      <c r="C22">
        <v>27605</v>
      </c>
      <c r="D22" s="4">
        <f>MDCR_INPT_HOSP_MA_7_CPS_13UMI[[#This Row],[Total Persons With Utilization]]/MDCR_INPT_HOSP_MA_7_CPS_13UMI[[#This Row],[Total Medicare Advantage Part A Enrollees²]]*100</f>
        <v>13.229972921808727</v>
      </c>
      <c r="E22">
        <v>41945</v>
      </c>
      <c r="F22">
        <v>201</v>
      </c>
      <c r="G22">
        <v>1519</v>
      </c>
      <c r="H22">
        <v>34046</v>
      </c>
      <c r="I22">
        <v>298360</v>
      </c>
      <c r="J22">
        <v>1429.92</v>
      </c>
      <c r="K22">
        <v>10.81</v>
      </c>
      <c r="L22">
        <v>7.1131243294790796</v>
      </c>
      <c r="M22">
        <v>1797</v>
      </c>
    </row>
    <row r="23" spans="1:13" x14ac:dyDescent="0.35">
      <c r="A23" t="s">
        <v>33</v>
      </c>
      <c r="B23">
        <v>439122</v>
      </c>
      <c r="C23">
        <v>64721</v>
      </c>
      <c r="D23" s="4">
        <f>MDCR_INPT_HOSP_MA_7_CPS_13UMI[[#This Row],[Total Persons With Utilization]]/MDCR_INPT_HOSP_MA_7_CPS_13UMI[[#This Row],[Total Medicare Advantage Part A Enrollees²]]*100</f>
        <v>14.738728644886843</v>
      </c>
      <c r="E23">
        <v>100035</v>
      </c>
      <c r="F23">
        <v>228</v>
      </c>
      <c r="G23">
        <v>1546</v>
      </c>
      <c r="H23">
        <v>81024</v>
      </c>
      <c r="I23">
        <v>654517</v>
      </c>
      <c r="J23">
        <v>1490.51</v>
      </c>
      <c r="K23">
        <v>10.11</v>
      </c>
      <c r="L23">
        <v>6.5428799920027991</v>
      </c>
      <c r="M23">
        <v>2910</v>
      </c>
    </row>
    <row r="24" spans="1:13" x14ac:dyDescent="0.35">
      <c r="A24" t="s">
        <v>34</v>
      </c>
      <c r="B24">
        <v>1201394</v>
      </c>
      <c r="C24">
        <v>162568</v>
      </c>
      <c r="D24" s="4">
        <f>MDCR_INPT_HOSP_MA_7_CPS_13UMI[[#This Row],[Total Persons With Utilization]]/MDCR_INPT_HOSP_MA_7_CPS_13UMI[[#This Row],[Total Medicare Advantage Part A Enrollees²]]*100</f>
        <v>13.531614108277552</v>
      </c>
      <c r="E24">
        <v>247920</v>
      </c>
      <c r="F24">
        <v>206</v>
      </c>
      <c r="G24">
        <v>1525</v>
      </c>
      <c r="H24">
        <v>200186</v>
      </c>
      <c r="I24">
        <v>1521371</v>
      </c>
      <c r="J24">
        <v>1266.3399999999999</v>
      </c>
      <c r="K24">
        <v>9.36</v>
      </c>
      <c r="L24">
        <v>6.136540012907389</v>
      </c>
      <c r="M24">
        <v>9951</v>
      </c>
    </row>
    <row r="25" spans="1:13" x14ac:dyDescent="0.35">
      <c r="A25" t="s">
        <v>35</v>
      </c>
      <c r="B25">
        <v>601998</v>
      </c>
      <c r="C25">
        <v>61042</v>
      </c>
      <c r="D25" s="4">
        <f>MDCR_INPT_HOSP_MA_7_CPS_13UMI[[#This Row],[Total Persons With Utilization]]/MDCR_INPT_HOSP_MA_7_CPS_13UMI[[#This Row],[Total Medicare Advantage Part A Enrollees²]]*100</f>
        <v>10.139900797012615</v>
      </c>
      <c r="E25">
        <v>87122</v>
      </c>
      <c r="F25">
        <v>145</v>
      </c>
      <c r="G25">
        <v>1427</v>
      </c>
      <c r="H25">
        <v>64053</v>
      </c>
      <c r="I25">
        <v>506524</v>
      </c>
      <c r="J25">
        <v>841.4</v>
      </c>
      <c r="K25">
        <v>8.3000000000000007</v>
      </c>
      <c r="L25">
        <v>5.8139620302564223</v>
      </c>
      <c r="M25">
        <v>3166</v>
      </c>
    </row>
    <row r="26" spans="1:13" x14ac:dyDescent="0.35">
      <c r="A26" t="s">
        <v>36</v>
      </c>
      <c r="B26">
        <v>217161</v>
      </c>
      <c r="C26">
        <v>31124</v>
      </c>
      <c r="D26" s="4">
        <f>MDCR_INPT_HOSP_MA_7_CPS_13UMI[[#This Row],[Total Persons With Utilization]]/MDCR_INPT_HOSP_MA_7_CPS_13UMI[[#This Row],[Total Medicare Advantage Part A Enrollees²]]*100</f>
        <v>14.332223557636961</v>
      </c>
      <c r="E26">
        <v>46983</v>
      </c>
      <c r="F26">
        <v>216</v>
      </c>
      <c r="G26">
        <v>1510</v>
      </c>
      <c r="H26">
        <v>37892</v>
      </c>
      <c r="I26">
        <v>307660</v>
      </c>
      <c r="J26">
        <v>1416.74</v>
      </c>
      <c r="K26">
        <v>9.8800000000000008</v>
      </c>
      <c r="L26">
        <v>6.5483259902517936</v>
      </c>
      <c r="M26">
        <v>1965</v>
      </c>
    </row>
    <row r="27" spans="1:13" x14ac:dyDescent="0.35">
      <c r="A27" t="s">
        <v>37</v>
      </c>
      <c r="B27">
        <v>609713</v>
      </c>
      <c r="C27">
        <v>92605</v>
      </c>
      <c r="D27" s="4">
        <f>MDCR_INPT_HOSP_MA_7_CPS_13UMI[[#This Row],[Total Persons With Utilization]]/MDCR_INPT_HOSP_MA_7_CPS_13UMI[[#This Row],[Total Medicare Advantage Part A Enrollees²]]*100</f>
        <v>15.188293508585188</v>
      </c>
      <c r="E27">
        <v>141333</v>
      </c>
      <c r="F27">
        <v>232</v>
      </c>
      <c r="G27">
        <v>1526</v>
      </c>
      <c r="H27">
        <v>111037</v>
      </c>
      <c r="I27">
        <v>814817</v>
      </c>
      <c r="J27">
        <v>1336.39</v>
      </c>
      <c r="K27">
        <v>8.8000000000000007</v>
      </c>
      <c r="L27">
        <v>5.7652282198778773</v>
      </c>
      <c r="M27">
        <v>5984</v>
      </c>
    </row>
    <row r="28" spans="1:13" x14ac:dyDescent="0.35">
      <c r="A28" t="s">
        <v>38</v>
      </c>
      <c r="B28">
        <v>63437</v>
      </c>
      <c r="C28">
        <v>6499</v>
      </c>
      <c r="D28" s="4">
        <f>MDCR_INPT_HOSP_MA_7_CPS_13UMI[[#This Row],[Total Persons With Utilization]]/MDCR_INPT_HOSP_MA_7_CPS_13UMI[[#This Row],[Total Medicare Advantage Part A Enrollees²]]*100</f>
        <v>10.244809811308858</v>
      </c>
      <c r="E28">
        <v>8705</v>
      </c>
      <c r="F28">
        <v>137</v>
      </c>
      <c r="G28">
        <v>1339</v>
      </c>
      <c r="H28">
        <v>6418</v>
      </c>
      <c r="I28">
        <v>54161</v>
      </c>
      <c r="J28">
        <v>853.78</v>
      </c>
      <c r="K28">
        <v>8.33</v>
      </c>
      <c r="L28">
        <v>6.2218265364732916</v>
      </c>
      <c r="M28">
        <v>476</v>
      </c>
    </row>
    <row r="29" spans="1:13" x14ac:dyDescent="0.35">
      <c r="A29" t="s">
        <v>39</v>
      </c>
      <c r="B29">
        <v>105009</v>
      </c>
      <c r="C29">
        <v>12291</v>
      </c>
      <c r="D29" s="4">
        <f>MDCR_INPT_HOSP_MA_7_CPS_13UMI[[#This Row],[Total Persons With Utilization]]/MDCR_INPT_HOSP_MA_7_CPS_13UMI[[#This Row],[Total Medicare Advantage Part A Enrollees²]]*100</f>
        <v>11.704711024769306</v>
      </c>
      <c r="E29">
        <v>17676</v>
      </c>
      <c r="F29">
        <v>168</v>
      </c>
      <c r="G29">
        <v>1438</v>
      </c>
      <c r="H29">
        <v>12725</v>
      </c>
      <c r="I29">
        <v>113153</v>
      </c>
      <c r="J29">
        <v>1077.56</v>
      </c>
      <c r="K29">
        <v>9.2100000000000009</v>
      </c>
      <c r="L29">
        <v>6.4015048653541529</v>
      </c>
      <c r="M29">
        <v>845</v>
      </c>
    </row>
    <row r="30" spans="1:13" x14ac:dyDescent="0.35">
      <c r="A30" t="s">
        <v>40</v>
      </c>
      <c r="B30">
        <v>266529</v>
      </c>
      <c r="C30">
        <v>37791</v>
      </c>
      <c r="D30" s="4">
        <f>MDCR_INPT_HOSP_MA_7_CPS_13UMI[[#This Row],[Total Persons With Utilization]]/MDCR_INPT_HOSP_MA_7_CPS_13UMI[[#This Row],[Total Medicare Advantage Part A Enrollees²]]*100</f>
        <v>14.178944880294452</v>
      </c>
      <c r="E30">
        <v>57568</v>
      </c>
      <c r="F30">
        <v>216</v>
      </c>
      <c r="G30">
        <v>1523</v>
      </c>
      <c r="H30">
        <v>50163</v>
      </c>
      <c r="I30">
        <v>356465</v>
      </c>
      <c r="J30">
        <v>1337.44</v>
      </c>
      <c r="K30">
        <v>9.43</v>
      </c>
      <c r="L30">
        <v>6.1920685102834909</v>
      </c>
      <c r="M30">
        <v>2311</v>
      </c>
    </row>
    <row r="31" spans="1:13" x14ac:dyDescent="0.35">
      <c r="A31" t="s">
        <v>41</v>
      </c>
      <c r="B31">
        <v>95587</v>
      </c>
      <c r="C31">
        <v>10157</v>
      </c>
      <c r="D31" s="4">
        <f>MDCR_INPT_HOSP_MA_7_CPS_13UMI[[#This Row],[Total Persons With Utilization]]/MDCR_INPT_HOSP_MA_7_CPS_13UMI[[#This Row],[Total Medicare Advantage Part A Enrollees²]]*100</f>
        <v>10.62592193499116</v>
      </c>
      <c r="E31">
        <v>14597</v>
      </c>
      <c r="F31">
        <v>153</v>
      </c>
      <c r="G31">
        <v>1437</v>
      </c>
      <c r="H31">
        <v>11220</v>
      </c>
      <c r="I31">
        <v>99528</v>
      </c>
      <c r="J31">
        <v>1041.23</v>
      </c>
      <c r="K31">
        <v>9.8000000000000007</v>
      </c>
      <c r="L31">
        <v>6.8183873398643557</v>
      </c>
      <c r="M31">
        <v>650</v>
      </c>
    </row>
    <row r="32" spans="1:13" x14ac:dyDescent="0.35">
      <c r="A32" t="s">
        <v>42</v>
      </c>
      <c r="B32">
        <v>625749</v>
      </c>
      <c r="C32">
        <v>92153</v>
      </c>
      <c r="D32" s="4">
        <f>MDCR_INPT_HOSP_MA_7_CPS_13UMI[[#This Row],[Total Persons With Utilization]]/MDCR_INPT_HOSP_MA_7_CPS_13UMI[[#This Row],[Total Medicare Advantage Part A Enrollees²]]*100</f>
        <v>14.726831365291835</v>
      </c>
      <c r="E32">
        <v>143738</v>
      </c>
      <c r="F32">
        <v>230</v>
      </c>
      <c r="G32">
        <v>1560</v>
      </c>
      <c r="H32">
        <v>123903</v>
      </c>
      <c r="I32">
        <v>887058</v>
      </c>
      <c r="J32">
        <v>1417.59</v>
      </c>
      <c r="K32">
        <v>9.6300000000000008</v>
      </c>
      <c r="L32">
        <v>6.1713534347215084</v>
      </c>
      <c r="M32">
        <v>5946</v>
      </c>
    </row>
    <row r="33" spans="1:13" x14ac:dyDescent="0.35">
      <c r="A33" t="s">
        <v>43</v>
      </c>
      <c r="B33">
        <v>204830</v>
      </c>
      <c r="C33">
        <v>23944</v>
      </c>
      <c r="D33" s="4">
        <f>MDCR_INPT_HOSP_MA_7_CPS_13UMI[[#This Row],[Total Persons With Utilization]]/MDCR_INPT_HOSP_MA_7_CPS_13UMI[[#This Row],[Total Medicare Advantage Part A Enrollees²]]*100</f>
        <v>11.689693892496217</v>
      </c>
      <c r="E33">
        <v>33947</v>
      </c>
      <c r="F33">
        <v>166</v>
      </c>
      <c r="G33">
        <v>1418</v>
      </c>
      <c r="H33">
        <v>26541</v>
      </c>
      <c r="I33">
        <v>201889</v>
      </c>
      <c r="J33">
        <v>985.64</v>
      </c>
      <c r="K33">
        <v>8.43</v>
      </c>
      <c r="L33">
        <v>5.9471823725218727</v>
      </c>
      <c r="M33">
        <v>1544</v>
      </c>
    </row>
    <row r="34" spans="1:13" x14ac:dyDescent="0.35">
      <c r="A34" t="s">
        <v>44</v>
      </c>
      <c r="B34">
        <v>1813532</v>
      </c>
      <c r="C34">
        <v>254466</v>
      </c>
      <c r="D34" s="4">
        <f>MDCR_INPT_HOSP_MA_7_CPS_13UMI[[#This Row],[Total Persons With Utilization]]/MDCR_INPT_HOSP_MA_7_CPS_13UMI[[#This Row],[Total Medicare Advantage Part A Enrollees²]]*100</f>
        <v>14.03151419440076</v>
      </c>
      <c r="E34">
        <v>383219</v>
      </c>
      <c r="F34">
        <v>211</v>
      </c>
      <c r="G34">
        <v>1506</v>
      </c>
      <c r="H34">
        <v>313757</v>
      </c>
      <c r="I34">
        <v>2596405</v>
      </c>
      <c r="J34">
        <v>1431.68</v>
      </c>
      <c r="K34">
        <v>10.199999999999999</v>
      </c>
      <c r="L34">
        <v>6.7752512271051284</v>
      </c>
      <c r="M34">
        <v>16588</v>
      </c>
    </row>
    <row r="35" spans="1:13" x14ac:dyDescent="0.35">
      <c r="A35" t="s">
        <v>45</v>
      </c>
      <c r="B35">
        <v>1033407</v>
      </c>
      <c r="C35">
        <v>136495</v>
      </c>
      <c r="D35" s="4">
        <f>MDCR_INPT_HOSP_MA_7_CPS_13UMI[[#This Row],[Total Persons With Utilization]]/MDCR_INPT_HOSP_MA_7_CPS_13UMI[[#This Row],[Total Medicare Advantage Part A Enrollees²]]*100</f>
        <v>13.208251927846435</v>
      </c>
      <c r="E35">
        <v>199504</v>
      </c>
      <c r="F35">
        <v>193</v>
      </c>
      <c r="G35">
        <v>1462</v>
      </c>
      <c r="H35">
        <v>159772</v>
      </c>
      <c r="I35">
        <v>1276274</v>
      </c>
      <c r="J35">
        <v>1235.02</v>
      </c>
      <c r="K35">
        <v>9.35</v>
      </c>
      <c r="L35">
        <v>6.3972351431550241</v>
      </c>
      <c r="M35">
        <v>8810</v>
      </c>
    </row>
    <row r="36" spans="1:13" x14ac:dyDescent="0.35">
      <c r="A36" t="s">
        <v>46</v>
      </c>
      <c r="B36">
        <v>37745</v>
      </c>
      <c r="C36">
        <v>1805</v>
      </c>
      <c r="D36" s="4">
        <f>MDCR_INPT_HOSP_MA_7_CPS_13UMI[[#This Row],[Total Persons With Utilization]]/MDCR_INPT_HOSP_MA_7_CPS_13UMI[[#This Row],[Total Medicare Advantage Part A Enrollees²]]*100</f>
        <v>4.7820903430918005</v>
      </c>
      <c r="E36">
        <v>2653</v>
      </c>
      <c r="F36">
        <v>70</v>
      </c>
      <c r="G36">
        <v>1470</v>
      </c>
      <c r="H36">
        <v>2091</v>
      </c>
      <c r="I36">
        <v>16091</v>
      </c>
      <c r="J36">
        <v>426.31</v>
      </c>
      <c r="K36">
        <v>8.91</v>
      </c>
      <c r="L36">
        <v>6.0652091971353181</v>
      </c>
      <c r="M36">
        <v>116</v>
      </c>
    </row>
    <row r="37" spans="1:13" x14ac:dyDescent="0.35">
      <c r="A37" t="s">
        <v>47</v>
      </c>
      <c r="B37">
        <v>1256591</v>
      </c>
      <c r="C37">
        <v>190048</v>
      </c>
      <c r="D37" s="4">
        <f>MDCR_INPT_HOSP_MA_7_CPS_13UMI[[#This Row],[Total Persons With Utilization]]/MDCR_INPT_HOSP_MA_7_CPS_13UMI[[#This Row],[Total Medicare Advantage Part A Enrollees²]]*100</f>
        <v>15.124093678850159</v>
      </c>
      <c r="E37">
        <v>290867</v>
      </c>
      <c r="F37">
        <v>231</v>
      </c>
      <c r="G37">
        <v>1530</v>
      </c>
      <c r="H37">
        <v>230994</v>
      </c>
      <c r="I37">
        <v>1651439</v>
      </c>
      <c r="J37">
        <v>1314.22</v>
      </c>
      <c r="K37">
        <v>8.69</v>
      </c>
      <c r="L37">
        <v>5.6776430464782877</v>
      </c>
      <c r="M37">
        <v>10870</v>
      </c>
    </row>
    <row r="38" spans="1:13" x14ac:dyDescent="0.35">
      <c r="A38" t="s">
        <v>48</v>
      </c>
      <c r="B38">
        <v>269482</v>
      </c>
      <c r="C38">
        <v>43194</v>
      </c>
      <c r="D38" s="4">
        <f>MDCR_INPT_HOSP_MA_7_CPS_13UMI[[#This Row],[Total Persons With Utilization]]/MDCR_INPT_HOSP_MA_7_CPS_13UMI[[#This Row],[Total Medicare Advantage Part A Enrollees²]]*100</f>
        <v>16.028528807118843</v>
      </c>
      <c r="E38">
        <v>64145</v>
      </c>
      <c r="F38">
        <v>238</v>
      </c>
      <c r="G38">
        <v>1485</v>
      </c>
      <c r="H38">
        <v>49350</v>
      </c>
      <c r="I38">
        <v>362229</v>
      </c>
      <c r="J38">
        <v>1344.17</v>
      </c>
      <c r="K38">
        <v>8.39</v>
      </c>
      <c r="L38">
        <v>5.647034063449996</v>
      </c>
      <c r="M38">
        <v>2842</v>
      </c>
    </row>
    <row r="39" spans="1:13" x14ac:dyDescent="0.35">
      <c r="A39" t="s">
        <v>49</v>
      </c>
      <c r="B39">
        <v>470254</v>
      </c>
      <c r="C39">
        <v>50092</v>
      </c>
      <c r="D39" s="4">
        <f>MDCR_INPT_HOSP_MA_7_CPS_13UMI[[#This Row],[Total Persons With Utilization]]/MDCR_INPT_HOSP_MA_7_CPS_13UMI[[#This Row],[Total Medicare Advantage Part A Enrollees²]]*100</f>
        <v>10.652115665151173</v>
      </c>
      <c r="E39">
        <v>68523</v>
      </c>
      <c r="F39">
        <v>146</v>
      </c>
      <c r="G39">
        <v>1368</v>
      </c>
      <c r="H39">
        <v>53174</v>
      </c>
      <c r="I39">
        <v>442949</v>
      </c>
      <c r="J39">
        <v>941.94</v>
      </c>
      <c r="K39">
        <v>8.84</v>
      </c>
      <c r="L39">
        <v>6.4642382849554174</v>
      </c>
      <c r="M39">
        <v>3655</v>
      </c>
    </row>
    <row r="40" spans="1:13" x14ac:dyDescent="0.35">
      <c r="A40" t="s">
        <v>50</v>
      </c>
      <c r="B40">
        <v>1394506</v>
      </c>
      <c r="C40">
        <v>209792</v>
      </c>
      <c r="D40" s="4">
        <f>MDCR_INPT_HOSP_MA_7_CPS_13UMI[[#This Row],[Total Persons With Utilization]]/MDCR_INPT_HOSP_MA_7_CPS_13UMI[[#This Row],[Total Medicare Advantage Part A Enrollees²]]*100</f>
        <v>15.044180519840001</v>
      </c>
      <c r="E40">
        <v>316201</v>
      </c>
      <c r="F40">
        <v>227</v>
      </c>
      <c r="G40">
        <v>1507</v>
      </c>
      <c r="H40">
        <v>260120</v>
      </c>
      <c r="I40">
        <v>1807692</v>
      </c>
      <c r="J40">
        <v>1296.3</v>
      </c>
      <c r="K40">
        <v>8.6199999999999992</v>
      </c>
      <c r="L40">
        <v>5.7169079161672478</v>
      </c>
      <c r="M40">
        <v>13951</v>
      </c>
    </row>
    <row r="41" spans="1:13" x14ac:dyDescent="0.35">
      <c r="A41" t="s">
        <v>63</v>
      </c>
      <c r="B41">
        <v>632131</v>
      </c>
      <c r="C41">
        <v>78073</v>
      </c>
      <c r="D41" s="4">
        <f>MDCR_INPT_HOSP_MA_7_CPS_13UMI[[#This Row],[Total Persons With Utilization]]/MDCR_INPT_HOSP_MA_7_CPS_13UMI[[#This Row],[Total Medicare Advantage Part A Enrollees²]]*100</f>
        <v>12.350762737470555</v>
      </c>
      <c r="E41">
        <v>109665</v>
      </c>
      <c r="F41">
        <v>173</v>
      </c>
      <c r="G41">
        <v>1405</v>
      </c>
      <c r="H41">
        <v>22436</v>
      </c>
      <c r="I41">
        <v>759332</v>
      </c>
      <c r="J41">
        <v>1201.23</v>
      </c>
      <c r="K41">
        <v>9.73</v>
      </c>
      <c r="L41">
        <v>6.924105229562759</v>
      </c>
      <c r="M41">
        <v>8332</v>
      </c>
    </row>
    <row r="42" spans="1:13" x14ac:dyDescent="0.35">
      <c r="A42" t="s">
        <v>51</v>
      </c>
      <c r="B42">
        <v>126257</v>
      </c>
      <c r="C42">
        <v>16956</v>
      </c>
      <c r="D42" s="4">
        <f>MDCR_INPT_HOSP_MA_7_CPS_13UMI[[#This Row],[Total Persons With Utilization]]/MDCR_INPT_HOSP_MA_7_CPS_13UMI[[#This Row],[Total Medicare Advantage Part A Enrollees²]]*100</f>
        <v>13.429750429679146</v>
      </c>
      <c r="E42">
        <v>25823</v>
      </c>
      <c r="F42">
        <v>205</v>
      </c>
      <c r="G42">
        <v>1523</v>
      </c>
      <c r="H42">
        <v>21962</v>
      </c>
      <c r="I42">
        <v>152274</v>
      </c>
      <c r="J42">
        <v>1206.06</v>
      </c>
      <c r="K42">
        <v>8.98</v>
      </c>
      <c r="L42">
        <v>5.8968361538163654</v>
      </c>
      <c r="M42">
        <v>414</v>
      </c>
    </row>
    <row r="43" spans="1:13" x14ac:dyDescent="0.35">
      <c r="A43" t="s">
        <v>52</v>
      </c>
      <c r="B43">
        <v>472542</v>
      </c>
      <c r="C43">
        <v>70594</v>
      </c>
      <c r="D43" s="4">
        <f>MDCR_INPT_HOSP_MA_7_CPS_13UMI[[#This Row],[Total Persons With Utilization]]/MDCR_INPT_HOSP_MA_7_CPS_13UMI[[#This Row],[Total Medicare Advantage Part A Enrollees²]]*100</f>
        <v>14.939201171536077</v>
      </c>
      <c r="E43">
        <v>105733</v>
      </c>
      <c r="F43">
        <v>224</v>
      </c>
      <c r="G43">
        <v>1498</v>
      </c>
      <c r="H43">
        <v>83893</v>
      </c>
      <c r="I43">
        <v>677202</v>
      </c>
      <c r="J43">
        <v>1433.1</v>
      </c>
      <c r="K43">
        <v>9.59</v>
      </c>
      <c r="L43">
        <v>6.4048310366678329</v>
      </c>
      <c r="M43">
        <v>3986</v>
      </c>
    </row>
    <row r="44" spans="1:13" x14ac:dyDescent="0.35">
      <c r="A44" t="s">
        <v>53</v>
      </c>
      <c r="B44">
        <v>56332</v>
      </c>
      <c r="C44">
        <v>3039</v>
      </c>
      <c r="D44" s="4">
        <f>MDCR_INPT_HOSP_MA_7_CPS_13UMI[[#This Row],[Total Persons With Utilization]]/MDCR_INPT_HOSP_MA_7_CPS_13UMI[[#This Row],[Total Medicare Advantage Part A Enrollees²]]*100</f>
        <v>5.3948022438400915</v>
      </c>
      <c r="E44">
        <v>4293</v>
      </c>
      <c r="F44">
        <v>76</v>
      </c>
      <c r="G44">
        <v>1413</v>
      </c>
      <c r="H44">
        <v>3043</v>
      </c>
      <c r="I44">
        <v>26231</v>
      </c>
      <c r="J44">
        <v>465.65</v>
      </c>
      <c r="K44">
        <v>8.6300000000000008</v>
      </c>
      <c r="L44">
        <v>6.1101793617516886</v>
      </c>
      <c r="M44">
        <v>188</v>
      </c>
    </row>
    <row r="45" spans="1:13" x14ac:dyDescent="0.35">
      <c r="A45" t="s">
        <v>54</v>
      </c>
      <c r="B45">
        <v>687114</v>
      </c>
      <c r="C45">
        <v>100738</v>
      </c>
      <c r="D45" s="4">
        <f>MDCR_INPT_HOSP_MA_7_CPS_13UMI[[#This Row],[Total Persons With Utilization]]/MDCR_INPT_HOSP_MA_7_CPS_13UMI[[#This Row],[Total Medicare Advantage Part A Enrollees²]]*100</f>
        <v>14.661031502778288</v>
      </c>
      <c r="E45">
        <v>150603</v>
      </c>
      <c r="F45">
        <v>219</v>
      </c>
      <c r="G45">
        <v>1495</v>
      </c>
      <c r="H45">
        <v>122224</v>
      </c>
      <c r="I45">
        <v>973729</v>
      </c>
      <c r="J45">
        <v>1417.13</v>
      </c>
      <c r="K45">
        <v>9.67</v>
      </c>
      <c r="L45">
        <v>6.4655352151019567</v>
      </c>
      <c r="M45">
        <v>7258</v>
      </c>
    </row>
    <row r="46" spans="1:13" x14ac:dyDescent="0.35">
      <c r="A46" t="s">
        <v>55</v>
      </c>
      <c r="B46">
        <v>2207132</v>
      </c>
      <c r="C46">
        <v>324636</v>
      </c>
      <c r="D46" s="4">
        <f>MDCR_INPT_HOSP_MA_7_CPS_13UMI[[#This Row],[Total Persons With Utilization]]/MDCR_INPT_HOSP_MA_7_CPS_13UMI[[#This Row],[Total Medicare Advantage Part A Enrollees²]]*100</f>
        <v>14.708499536955651</v>
      </c>
      <c r="E46">
        <v>502080</v>
      </c>
      <c r="F46">
        <v>227</v>
      </c>
      <c r="G46">
        <v>1547</v>
      </c>
      <c r="H46">
        <v>411356</v>
      </c>
      <c r="I46">
        <v>2935505</v>
      </c>
      <c r="J46">
        <v>1330.01</v>
      </c>
      <c r="K46">
        <v>9.0399999999999991</v>
      </c>
      <c r="L46">
        <v>5.8466877788400264</v>
      </c>
      <c r="M46">
        <v>16141</v>
      </c>
    </row>
    <row r="47" spans="1:13" x14ac:dyDescent="0.35">
      <c r="A47" t="s">
        <v>56</v>
      </c>
      <c r="B47">
        <v>203119</v>
      </c>
      <c r="C47">
        <v>20642</v>
      </c>
      <c r="D47" s="4">
        <f>MDCR_INPT_HOSP_MA_7_CPS_13UMI[[#This Row],[Total Persons With Utilization]]/MDCR_INPT_HOSP_MA_7_CPS_13UMI[[#This Row],[Total Medicare Advantage Part A Enrollees²]]*100</f>
        <v>10.162515569690674</v>
      </c>
      <c r="E47">
        <v>27756</v>
      </c>
      <c r="F47">
        <v>137</v>
      </c>
      <c r="G47">
        <v>1345</v>
      </c>
      <c r="H47">
        <v>20513</v>
      </c>
      <c r="I47">
        <v>125253</v>
      </c>
      <c r="J47">
        <v>616.65</v>
      </c>
      <c r="K47">
        <v>6.07</v>
      </c>
      <c r="L47">
        <v>4.5126459143968871</v>
      </c>
      <c r="M47">
        <v>753</v>
      </c>
    </row>
    <row r="48" spans="1:13" x14ac:dyDescent="0.35">
      <c r="A48" t="s">
        <v>57</v>
      </c>
      <c r="B48">
        <v>42979</v>
      </c>
      <c r="C48">
        <v>3939</v>
      </c>
      <c r="D48" s="4">
        <f>MDCR_INPT_HOSP_MA_7_CPS_13UMI[[#This Row],[Total Persons With Utilization]]/MDCR_INPT_HOSP_MA_7_CPS_13UMI[[#This Row],[Total Medicare Advantage Part A Enrollees²]]*100</f>
        <v>9.1649410177063206</v>
      </c>
      <c r="E48">
        <v>5594</v>
      </c>
      <c r="F48">
        <v>130</v>
      </c>
      <c r="G48">
        <v>1420</v>
      </c>
      <c r="H48">
        <v>4091</v>
      </c>
      <c r="I48">
        <v>39814</v>
      </c>
      <c r="J48">
        <v>926.36</v>
      </c>
      <c r="K48">
        <v>10.11</v>
      </c>
      <c r="L48">
        <v>7.1172685019663922</v>
      </c>
      <c r="M48">
        <v>239</v>
      </c>
    </row>
    <row r="49" spans="1:13" x14ac:dyDescent="0.35">
      <c r="A49" t="s">
        <v>58</v>
      </c>
      <c r="B49">
        <v>533110</v>
      </c>
      <c r="C49">
        <v>77807</v>
      </c>
      <c r="D49" s="4">
        <f>MDCR_INPT_HOSP_MA_7_CPS_13UMI[[#This Row],[Total Persons With Utilization]]/MDCR_INPT_HOSP_MA_7_CPS_13UMI[[#This Row],[Total Medicare Advantage Part A Enrollees²]]*100</f>
        <v>14.594924124477124</v>
      </c>
      <c r="E49">
        <v>118522</v>
      </c>
      <c r="F49">
        <v>222</v>
      </c>
      <c r="G49">
        <v>1523</v>
      </c>
      <c r="H49">
        <v>97756</v>
      </c>
      <c r="I49">
        <v>753701</v>
      </c>
      <c r="J49">
        <v>1413.78</v>
      </c>
      <c r="K49">
        <v>9.69</v>
      </c>
      <c r="L49">
        <v>6.3591653870167564</v>
      </c>
      <c r="M49">
        <v>5549</v>
      </c>
    </row>
    <row r="50" spans="1:13" x14ac:dyDescent="0.35">
      <c r="A50" t="s">
        <v>59</v>
      </c>
      <c r="B50">
        <v>617763</v>
      </c>
      <c r="C50">
        <v>67022</v>
      </c>
      <c r="D50" s="4">
        <f>MDCR_INPT_HOSP_MA_7_CPS_13UMI[[#This Row],[Total Persons With Utilization]]/MDCR_INPT_HOSP_MA_7_CPS_13UMI[[#This Row],[Total Medicare Advantage Part A Enrollees²]]*100</f>
        <v>10.849144412986858</v>
      </c>
      <c r="E50">
        <v>94435</v>
      </c>
      <c r="F50">
        <v>153</v>
      </c>
      <c r="G50">
        <v>1409</v>
      </c>
      <c r="H50">
        <v>73009</v>
      </c>
      <c r="I50">
        <v>700088</v>
      </c>
      <c r="J50">
        <v>1133.26</v>
      </c>
      <c r="K50">
        <v>10.45</v>
      </c>
      <c r="L50">
        <v>7.4134378143696722</v>
      </c>
      <c r="M50">
        <v>5350</v>
      </c>
    </row>
    <row r="51" spans="1:13" x14ac:dyDescent="0.35">
      <c r="A51" t="s">
        <v>60</v>
      </c>
      <c r="B51">
        <v>208025</v>
      </c>
      <c r="C51">
        <v>28267</v>
      </c>
      <c r="D51" s="4">
        <f>MDCR_INPT_HOSP_MA_7_CPS_13UMI[[#This Row],[Total Persons With Utilization]]/MDCR_INPT_HOSP_MA_7_CPS_13UMI[[#This Row],[Total Medicare Advantage Part A Enrollees²]]*100</f>
        <v>13.588270640548011</v>
      </c>
      <c r="E51">
        <v>43190</v>
      </c>
      <c r="F51">
        <v>208</v>
      </c>
      <c r="G51">
        <v>1528</v>
      </c>
      <c r="H51">
        <v>33346</v>
      </c>
      <c r="I51">
        <v>261452</v>
      </c>
      <c r="J51">
        <v>1256.83</v>
      </c>
      <c r="K51">
        <v>9.25</v>
      </c>
      <c r="L51">
        <v>6.0535309099328547</v>
      </c>
      <c r="M51">
        <v>1805</v>
      </c>
    </row>
    <row r="52" spans="1:13" x14ac:dyDescent="0.35">
      <c r="A52" t="s">
        <v>61</v>
      </c>
      <c r="B52">
        <v>652968</v>
      </c>
      <c r="C52">
        <v>68135</v>
      </c>
      <c r="D52" s="4">
        <f>MDCR_INPT_HOSP_MA_7_CPS_13UMI[[#This Row],[Total Persons With Utilization]]/MDCR_INPT_HOSP_MA_7_CPS_13UMI[[#This Row],[Total Medicare Advantage Part A Enrollees²]]*100</f>
        <v>10.434661422918122</v>
      </c>
      <c r="E52">
        <v>95935</v>
      </c>
      <c r="F52">
        <v>147</v>
      </c>
      <c r="G52">
        <v>1408</v>
      </c>
      <c r="H52">
        <v>68927</v>
      </c>
      <c r="I52">
        <v>593111</v>
      </c>
      <c r="J52">
        <v>908.33</v>
      </c>
      <c r="K52">
        <v>8.6999999999999993</v>
      </c>
      <c r="L52">
        <v>6.1824256006671181</v>
      </c>
      <c r="M52">
        <v>4093</v>
      </c>
    </row>
    <row r="53" spans="1:13" x14ac:dyDescent="0.35">
      <c r="A53" t="s">
        <v>62</v>
      </c>
      <c r="B53">
        <v>10264</v>
      </c>
      <c r="C53">
        <v>1185</v>
      </c>
      <c r="D53" s="4">
        <f>MDCR_INPT_HOSP_MA_7_CPS_13UMI[[#This Row],[Total Persons With Utilization]]/MDCR_INPT_HOSP_MA_7_CPS_13UMI[[#This Row],[Total Medicare Advantage Part A Enrollees²]]*100</f>
        <v>11.545206547155106</v>
      </c>
      <c r="E53">
        <v>1660</v>
      </c>
      <c r="F53">
        <v>162</v>
      </c>
      <c r="G53">
        <v>1401</v>
      </c>
      <c r="H53">
        <v>1248</v>
      </c>
      <c r="I53">
        <v>9232</v>
      </c>
      <c r="J53">
        <v>899.42</v>
      </c>
      <c r="K53">
        <v>7.79</v>
      </c>
      <c r="L53">
        <v>5.5614457831325304</v>
      </c>
      <c r="M53">
        <v>66</v>
      </c>
    </row>
  </sheetData>
  <sheetProtection algorithmName="SHA-512" hashValue="GR1bKeVKqo51a/W/DX+72ylJVagBCIRWTFZdG9IevWwu86P2XFK6g9/ZJJcD5M3NWyEiNErZliA1qqMI2S76Fw==" saltValue="eHA2lX/RsYnNL7aWvvKlKA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9D41-0054-4301-A6DE-19E211CDA52D}">
  <dimension ref="A3:C56"/>
  <sheetViews>
    <sheetView workbookViewId="0">
      <selection activeCell="C56" sqref="C56"/>
    </sheetView>
  </sheetViews>
  <sheetFormatPr defaultRowHeight="14.5" x14ac:dyDescent="0.35"/>
  <cols>
    <col min="1" max="1" width="17" bestFit="1" customWidth="1"/>
    <col min="2" max="2" width="55.7265625" bestFit="1" customWidth="1"/>
    <col min="3" max="3" width="11.81640625" style="12" bestFit="1" customWidth="1"/>
  </cols>
  <sheetData>
    <row r="3" spans="1:3" x14ac:dyDescent="0.35">
      <c r="A3" s="2" t="s">
        <v>67</v>
      </c>
      <c r="B3" t="s">
        <v>80</v>
      </c>
      <c r="C3" s="12" t="s">
        <v>79</v>
      </c>
    </row>
    <row r="4" spans="1:3" x14ac:dyDescent="0.35">
      <c r="A4" s="3" t="s">
        <v>12</v>
      </c>
      <c r="B4">
        <v>225</v>
      </c>
      <c r="C4" s="12">
        <v>6.6037812778423763</v>
      </c>
    </row>
    <row r="5" spans="1:3" x14ac:dyDescent="0.35">
      <c r="A5" s="3" t="s">
        <v>13</v>
      </c>
      <c r="B5">
        <v>168</v>
      </c>
      <c r="C5" s="12">
        <v>6.7006802721088432</v>
      </c>
    </row>
    <row r="6" spans="1:3" x14ac:dyDescent="0.35">
      <c r="A6" s="3" t="s">
        <v>14</v>
      </c>
      <c r="B6">
        <v>195</v>
      </c>
      <c r="C6" s="12">
        <v>5.8389574033441782</v>
      </c>
    </row>
    <row r="7" spans="1:3" x14ac:dyDescent="0.35">
      <c r="A7" s="3" t="s">
        <v>15</v>
      </c>
      <c r="B7">
        <v>235</v>
      </c>
      <c r="C7" s="12">
        <v>5.7532427371278372</v>
      </c>
    </row>
    <row r="8" spans="1:3" x14ac:dyDescent="0.35">
      <c r="A8" s="3" t="s">
        <v>16</v>
      </c>
      <c r="B8">
        <v>161</v>
      </c>
      <c r="C8" s="12">
        <v>5.6851282646097934</v>
      </c>
    </row>
    <row r="9" spans="1:3" x14ac:dyDescent="0.35">
      <c r="A9" s="3" t="s">
        <v>17</v>
      </c>
      <c r="B9">
        <v>164</v>
      </c>
      <c r="C9" s="12">
        <v>5.5674924035638877</v>
      </c>
    </row>
    <row r="10" spans="1:3" x14ac:dyDescent="0.35">
      <c r="A10" s="3" t="s">
        <v>18</v>
      </c>
      <c r="B10">
        <v>197</v>
      </c>
      <c r="C10" s="12">
        <v>6.1300956565263336</v>
      </c>
    </row>
    <row r="11" spans="1:3" x14ac:dyDescent="0.35">
      <c r="A11" s="3" t="s">
        <v>19</v>
      </c>
      <c r="B11">
        <v>211</v>
      </c>
      <c r="C11" s="12">
        <v>7.6350638428014372</v>
      </c>
    </row>
    <row r="12" spans="1:3" x14ac:dyDescent="0.35">
      <c r="A12" s="3" t="s">
        <v>20</v>
      </c>
      <c r="B12">
        <v>268</v>
      </c>
      <c r="C12" s="12">
        <v>8.7541789577187803</v>
      </c>
    </row>
    <row r="13" spans="1:3" x14ac:dyDescent="0.35">
      <c r="A13" s="3" t="s">
        <v>21</v>
      </c>
      <c r="B13">
        <v>217</v>
      </c>
      <c r="C13" s="12">
        <v>5.91175023490523</v>
      </c>
    </row>
    <row r="14" spans="1:3" x14ac:dyDescent="0.35">
      <c r="A14" s="3" t="s">
        <v>22</v>
      </c>
      <c r="B14">
        <v>223</v>
      </c>
      <c r="C14" s="12">
        <v>6.7146483781135826</v>
      </c>
    </row>
    <row r="15" spans="1:3" x14ac:dyDescent="0.35">
      <c r="A15" s="3" t="s">
        <v>23</v>
      </c>
      <c r="B15">
        <v>159</v>
      </c>
      <c r="C15" s="12">
        <v>7.862824877522212</v>
      </c>
    </row>
    <row r="16" spans="1:3" x14ac:dyDescent="0.35">
      <c r="A16" s="3" t="s">
        <v>24</v>
      </c>
      <c r="B16">
        <v>126</v>
      </c>
      <c r="C16" s="12">
        <v>5.8106447808138393</v>
      </c>
    </row>
    <row r="17" spans="1:3" x14ac:dyDescent="0.35">
      <c r="A17" s="3" t="s">
        <v>25</v>
      </c>
      <c r="B17">
        <v>220</v>
      </c>
      <c r="C17" s="12">
        <v>6.0444579749330503</v>
      </c>
    </row>
    <row r="18" spans="1:3" x14ac:dyDescent="0.35">
      <c r="A18" s="3" t="s">
        <v>26</v>
      </c>
      <c r="B18">
        <v>216</v>
      </c>
      <c r="C18" s="12">
        <v>5.9544597488095619</v>
      </c>
    </row>
    <row r="19" spans="1:3" x14ac:dyDescent="0.35">
      <c r="A19" s="3" t="s">
        <v>27</v>
      </c>
      <c r="B19">
        <v>162</v>
      </c>
      <c r="C19" s="12">
        <v>5.7471610384191232</v>
      </c>
    </row>
    <row r="20" spans="1:3" x14ac:dyDescent="0.35">
      <c r="A20" s="3" t="s">
        <v>28</v>
      </c>
      <c r="B20">
        <v>211</v>
      </c>
      <c r="C20" s="12">
        <v>5.2660328385196422</v>
      </c>
    </row>
    <row r="21" spans="1:3" x14ac:dyDescent="0.35">
      <c r="A21" s="3" t="s">
        <v>29</v>
      </c>
      <c r="B21">
        <v>223</v>
      </c>
      <c r="C21" s="12">
        <v>6.6651133378733336</v>
      </c>
    </row>
    <row r="22" spans="1:3" x14ac:dyDescent="0.35">
      <c r="A22" s="3" t="s">
        <v>30</v>
      </c>
      <c r="B22">
        <v>205</v>
      </c>
      <c r="C22" s="12">
        <v>5.9189296057623464</v>
      </c>
    </row>
    <row r="23" spans="1:3" x14ac:dyDescent="0.35">
      <c r="A23" s="3" t="s">
        <v>31</v>
      </c>
      <c r="B23">
        <v>120</v>
      </c>
      <c r="C23" s="12">
        <v>7.4372949002217297</v>
      </c>
    </row>
    <row r="24" spans="1:3" x14ac:dyDescent="0.35">
      <c r="A24" s="3" t="s">
        <v>32</v>
      </c>
      <c r="B24">
        <v>201</v>
      </c>
      <c r="C24" s="12">
        <v>7.1131243294790796</v>
      </c>
    </row>
    <row r="25" spans="1:3" x14ac:dyDescent="0.35">
      <c r="A25" s="3" t="s">
        <v>33</v>
      </c>
      <c r="B25">
        <v>228</v>
      </c>
      <c r="C25" s="12">
        <v>6.5428799920027991</v>
      </c>
    </row>
    <row r="26" spans="1:3" x14ac:dyDescent="0.35">
      <c r="A26" s="3" t="s">
        <v>34</v>
      </c>
      <c r="B26">
        <v>206</v>
      </c>
      <c r="C26" s="12">
        <v>6.136540012907389</v>
      </c>
    </row>
    <row r="27" spans="1:3" x14ac:dyDescent="0.35">
      <c r="A27" s="3" t="s">
        <v>35</v>
      </c>
      <c r="B27">
        <v>145</v>
      </c>
      <c r="C27" s="12">
        <v>5.8139620302564223</v>
      </c>
    </row>
    <row r="28" spans="1:3" x14ac:dyDescent="0.35">
      <c r="A28" s="3" t="s">
        <v>36</v>
      </c>
      <c r="B28">
        <v>216</v>
      </c>
      <c r="C28" s="12">
        <v>6.5483259902517936</v>
      </c>
    </row>
    <row r="29" spans="1:3" x14ac:dyDescent="0.35">
      <c r="A29" s="3" t="s">
        <v>37</v>
      </c>
      <c r="B29">
        <v>232</v>
      </c>
      <c r="C29" s="12">
        <v>5.7652282198778773</v>
      </c>
    </row>
    <row r="30" spans="1:3" x14ac:dyDescent="0.35">
      <c r="A30" s="3" t="s">
        <v>38</v>
      </c>
      <c r="B30">
        <v>137</v>
      </c>
      <c r="C30" s="12">
        <v>6.2218265364732916</v>
      </c>
    </row>
    <row r="31" spans="1:3" x14ac:dyDescent="0.35">
      <c r="A31" s="3" t="s">
        <v>39</v>
      </c>
      <c r="B31">
        <v>168</v>
      </c>
      <c r="C31" s="12">
        <v>6.4015048653541529</v>
      </c>
    </row>
    <row r="32" spans="1:3" x14ac:dyDescent="0.35">
      <c r="A32" s="3" t="s">
        <v>40</v>
      </c>
      <c r="B32">
        <v>216</v>
      </c>
      <c r="C32" s="12">
        <v>6.1920685102834909</v>
      </c>
    </row>
    <row r="33" spans="1:3" x14ac:dyDescent="0.35">
      <c r="A33" s="3" t="s">
        <v>41</v>
      </c>
      <c r="B33">
        <v>153</v>
      </c>
      <c r="C33" s="12">
        <v>6.8183873398643557</v>
      </c>
    </row>
    <row r="34" spans="1:3" x14ac:dyDescent="0.35">
      <c r="A34" s="3" t="s">
        <v>42</v>
      </c>
      <c r="B34">
        <v>230</v>
      </c>
      <c r="C34" s="12">
        <v>6.1713534347215075</v>
      </c>
    </row>
    <row r="35" spans="1:3" x14ac:dyDescent="0.35">
      <c r="A35" s="3" t="s">
        <v>43</v>
      </c>
      <c r="B35">
        <v>166</v>
      </c>
      <c r="C35" s="12">
        <v>5.9471823725218727</v>
      </c>
    </row>
    <row r="36" spans="1:3" x14ac:dyDescent="0.35">
      <c r="A36" s="3" t="s">
        <v>44</v>
      </c>
      <c r="B36">
        <v>211</v>
      </c>
      <c r="C36" s="12">
        <v>6.7752512271051275</v>
      </c>
    </row>
    <row r="37" spans="1:3" x14ac:dyDescent="0.35">
      <c r="A37" s="3" t="s">
        <v>45</v>
      </c>
      <c r="B37">
        <v>193</v>
      </c>
      <c r="C37" s="12">
        <v>6.3972351431550241</v>
      </c>
    </row>
    <row r="38" spans="1:3" x14ac:dyDescent="0.35">
      <c r="A38" s="3" t="s">
        <v>46</v>
      </c>
      <c r="B38">
        <v>70</v>
      </c>
      <c r="C38" s="12">
        <v>6.0652091971353181</v>
      </c>
    </row>
    <row r="39" spans="1:3" x14ac:dyDescent="0.35">
      <c r="A39" s="3" t="s">
        <v>47</v>
      </c>
      <c r="B39">
        <v>231</v>
      </c>
      <c r="C39" s="12">
        <v>5.6776430464782877</v>
      </c>
    </row>
    <row r="40" spans="1:3" x14ac:dyDescent="0.35">
      <c r="A40" s="3" t="s">
        <v>48</v>
      </c>
      <c r="B40">
        <v>238</v>
      </c>
      <c r="C40" s="12">
        <v>5.647034063449996</v>
      </c>
    </row>
    <row r="41" spans="1:3" x14ac:dyDescent="0.35">
      <c r="A41" s="3" t="s">
        <v>49</v>
      </c>
      <c r="B41">
        <v>146</v>
      </c>
      <c r="C41" s="12">
        <v>6.4642382849554165</v>
      </c>
    </row>
    <row r="42" spans="1:3" x14ac:dyDescent="0.35">
      <c r="A42" s="3" t="s">
        <v>50</v>
      </c>
      <c r="B42">
        <v>227</v>
      </c>
      <c r="C42" s="12">
        <v>5.7169079161672478</v>
      </c>
    </row>
    <row r="43" spans="1:3" x14ac:dyDescent="0.35">
      <c r="A43" s="3" t="s">
        <v>63</v>
      </c>
      <c r="B43">
        <v>173</v>
      </c>
      <c r="C43" s="12">
        <v>6.924105229562759</v>
      </c>
    </row>
    <row r="44" spans="1:3" x14ac:dyDescent="0.35">
      <c r="A44" s="3" t="s">
        <v>51</v>
      </c>
      <c r="B44">
        <v>205</v>
      </c>
      <c r="C44" s="12">
        <v>5.8968361538163654</v>
      </c>
    </row>
    <row r="45" spans="1:3" x14ac:dyDescent="0.35">
      <c r="A45" s="3" t="s">
        <v>52</v>
      </c>
      <c r="B45">
        <v>224</v>
      </c>
      <c r="C45" s="12">
        <v>6.4048310366678329</v>
      </c>
    </row>
    <row r="46" spans="1:3" x14ac:dyDescent="0.35">
      <c r="A46" s="3" t="s">
        <v>53</v>
      </c>
      <c r="B46">
        <v>76</v>
      </c>
      <c r="C46" s="12">
        <v>6.1101793617516886</v>
      </c>
    </row>
    <row r="47" spans="1:3" x14ac:dyDescent="0.35">
      <c r="A47" s="3" t="s">
        <v>54</v>
      </c>
      <c r="B47">
        <v>219</v>
      </c>
      <c r="C47" s="12">
        <v>6.4655352151019567</v>
      </c>
    </row>
    <row r="48" spans="1:3" x14ac:dyDescent="0.35">
      <c r="A48" s="3" t="s">
        <v>55</v>
      </c>
      <c r="B48">
        <v>227</v>
      </c>
      <c r="C48" s="12">
        <v>5.8466877788400256</v>
      </c>
    </row>
    <row r="49" spans="1:3" x14ac:dyDescent="0.35">
      <c r="A49" s="3" t="s">
        <v>56</v>
      </c>
      <c r="B49">
        <v>137</v>
      </c>
      <c r="C49" s="12">
        <v>4.5126459143968871</v>
      </c>
    </row>
    <row r="50" spans="1:3" x14ac:dyDescent="0.35">
      <c r="A50" s="3" t="s">
        <v>57</v>
      </c>
      <c r="B50">
        <v>130</v>
      </c>
      <c r="C50" s="12">
        <v>7.1172685019663922</v>
      </c>
    </row>
    <row r="51" spans="1:3" x14ac:dyDescent="0.35">
      <c r="A51" s="3" t="s">
        <v>58</v>
      </c>
      <c r="B51">
        <v>222</v>
      </c>
      <c r="C51" s="12">
        <v>6.3591653870167564</v>
      </c>
    </row>
    <row r="52" spans="1:3" x14ac:dyDescent="0.35">
      <c r="A52" s="3" t="s">
        <v>59</v>
      </c>
      <c r="B52">
        <v>153</v>
      </c>
      <c r="C52" s="12">
        <v>7.4134378143696722</v>
      </c>
    </row>
    <row r="53" spans="1:3" x14ac:dyDescent="0.35">
      <c r="A53" s="3" t="s">
        <v>60</v>
      </c>
      <c r="B53">
        <v>208</v>
      </c>
      <c r="C53" s="12">
        <v>6.0535309099328547</v>
      </c>
    </row>
    <row r="54" spans="1:3" x14ac:dyDescent="0.35">
      <c r="A54" s="3" t="s">
        <v>61</v>
      </c>
      <c r="B54">
        <v>147</v>
      </c>
      <c r="C54" s="12">
        <v>6.1824256006671181</v>
      </c>
    </row>
    <row r="55" spans="1:3" x14ac:dyDescent="0.35">
      <c r="A55" s="3" t="s">
        <v>62</v>
      </c>
      <c r="B55">
        <v>162</v>
      </c>
      <c r="C55" s="12">
        <v>5.5614457831325304</v>
      </c>
    </row>
    <row r="56" spans="1:3" x14ac:dyDescent="0.35">
      <c r="A56" s="3" t="s">
        <v>64</v>
      </c>
      <c r="B56">
        <v>9803</v>
      </c>
      <c r="C56" s="12">
        <v>6.1277112558109685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265F-C1D1-4D59-890E-287C50C64039}">
  <dimension ref="A1:M53"/>
  <sheetViews>
    <sheetView workbookViewId="0">
      <selection activeCell="D24" sqref="D24"/>
    </sheetView>
  </sheetViews>
  <sheetFormatPr defaultRowHeight="14.5" x14ac:dyDescent="0.35"/>
  <cols>
    <col min="1" max="1" width="17" bestFit="1" customWidth="1"/>
    <col min="2" max="2" width="16.90625" bestFit="1" customWidth="1"/>
    <col min="3" max="3" width="18" bestFit="1" customWidth="1"/>
    <col min="4" max="4" width="48.81640625" bestFit="1" customWidth="1"/>
    <col min="5" max="5" width="8.7265625" style="12"/>
    <col min="6" max="6" width="20" style="12" bestFit="1" customWidth="1"/>
    <col min="9" max="9" width="20.453125" customWidth="1"/>
    <col min="10" max="10" width="17.54296875" customWidth="1"/>
    <col min="11" max="11" width="26.36328125" customWidth="1"/>
    <col min="12" max="12" width="13.6328125" bestFit="1" customWidth="1"/>
  </cols>
  <sheetData>
    <row r="1" spans="1:8" s="1" customFormat="1" x14ac:dyDescent="0.35">
      <c r="A1" s="1" t="s">
        <v>121</v>
      </c>
      <c r="B1" s="1" t="s">
        <v>3</v>
      </c>
      <c r="C1" s="1" t="s">
        <v>7</v>
      </c>
      <c r="D1" s="1" t="s">
        <v>80</v>
      </c>
      <c r="E1" s="41" t="s">
        <v>79</v>
      </c>
      <c r="F1" s="41" t="s">
        <v>123</v>
      </c>
    </row>
    <row r="2" spans="1:8" x14ac:dyDescent="0.35">
      <c r="A2" t="s">
        <v>12</v>
      </c>
      <c r="B2">
        <v>132442</v>
      </c>
      <c r="C2">
        <v>874618</v>
      </c>
      <c r="D2">
        <v>225</v>
      </c>
      <c r="E2" s="12">
        <v>6.6037812778423763</v>
      </c>
      <c r="F2" s="12" t="str">
        <f t="shared" ref="F2:F33" si="0">IF(AND(D2&gt;188,E2&gt;6.3),"System Pressure",IF(AND(D2&lt;188,E2&gt;6.3),"Inefficient",IF(AND(D2&lt;188,E2&lt;6.3),"Underused but Efficient","Efficient / High Turnover")))</f>
        <v>System Pressure</v>
      </c>
    </row>
    <row r="3" spans="1:8" x14ac:dyDescent="0.35">
      <c r="A3" t="s">
        <v>13</v>
      </c>
      <c r="B3">
        <v>441</v>
      </c>
      <c r="C3">
        <v>2955</v>
      </c>
      <c r="D3">
        <v>168</v>
      </c>
      <c r="E3" s="12">
        <v>6.7006802721088432</v>
      </c>
      <c r="F3" s="12" t="str">
        <f t="shared" si="0"/>
        <v>Inefficient</v>
      </c>
      <c r="H3" t="s">
        <v>92</v>
      </c>
    </row>
    <row r="4" spans="1:8" x14ac:dyDescent="0.35">
      <c r="A4" t="s">
        <v>14</v>
      </c>
      <c r="B4">
        <v>132170</v>
      </c>
      <c r="C4">
        <v>771735</v>
      </c>
      <c r="D4">
        <v>195</v>
      </c>
      <c r="E4" s="12">
        <v>5.8389574033441782</v>
      </c>
      <c r="F4" s="12" t="str">
        <f t="shared" si="0"/>
        <v>Efficient / High Turnover</v>
      </c>
    </row>
    <row r="5" spans="1:8" x14ac:dyDescent="0.35">
      <c r="A5" t="s">
        <v>15</v>
      </c>
      <c r="B5">
        <v>58207</v>
      </c>
      <c r="C5">
        <v>334879</v>
      </c>
      <c r="D5">
        <v>235</v>
      </c>
      <c r="E5" s="12">
        <v>5.7532427371278372</v>
      </c>
      <c r="F5" s="12" t="str">
        <f t="shared" si="0"/>
        <v>Efficient / High Turnover</v>
      </c>
    </row>
    <row r="6" spans="1:8" x14ac:dyDescent="0.35">
      <c r="A6" t="s">
        <v>16</v>
      </c>
      <c r="B6">
        <v>517290</v>
      </c>
      <c r="C6">
        <v>2940860</v>
      </c>
      <c r="D6">
        <v>161</v>
      </c>
      <c r="E6" s="12">
        <v>5.6851282646097934</v>
      </c>
      <c r="F6" s="12" t="str">
        <f t="shared" si="0"/>
        <v>Underused but Efficient</v>
      </c>
    </row>
    <row r="7" spans="1:8" x14ac:dyDescent="0.35">
      <c r="A7" t="s">
        <v>17</v>
      </c>
      <c r="B7">
        <v>77668</v>
      </c>
      <c r="C7">
        <v>432416</v>
      </c>
      <c r="D7">
        <v>164</v>
      </c>
      <c r="E7" s="12">
        <v>5.5674924035638877</v>
      </c>
      <c r="F7" s="12" t="str">
        <f t="shared" si="0"/>
        <v>Underused but Efficient</v>
      </c>
    </row>
    <row r="8" spans="1:8" x14ac:dyDescent="0.35">
      <c r="A8" t="s">
        <v>18</v>
      </c>
      <c r="B8">
        <v>71924</v>
      </c>
      <c r="C8">
        <v>440901</v>
      </c>
      <c r="D8">
        <v>197</v>
      </c>
      <c r="E8" s="12">
        <v>6.1300956565263336</v>
      </c>
      <c r="F8" s="12" t="str">
        <f t="shared" si="0"/>
        <v>Efficient / High Turnover</v>
      </c>
    </row>
    <row r="9" spans="1:8" x14ac:dyDescent="0.35">
      <c r="A9" t="s">
        <v>19</v>
      </c>
      <c r="B9">
        <v>13079</v>
      </c>
      <c r="C9">
        <v>99859</v>
      </c>
      <c r="D9">
        <v>211</v>
      </c>
      <c r="E9" s="12">
        <v>7.6350638428014372</v>
      </c>
      <c r="F9" s="12" t="str">
        <f t="shared" si="0"/>
        <v>System Pressure</v>
      </c>
    </row>
    <row r="10" spans="1:8" x14ac:dyDescent="0.35">
      <c r="A10" t="s">
        <v>20</v>
      </c>
      <c r="B10">
        <v>7119</v>
      </c>
      <c r="C10">
        <v>62321</v>
      </c>
      <c r="D10">
        <v>268</v>
      </c>
      <c r="E10" s="12">
        <v>8.7541789577187803</v>
      </c>
      <c r="F10" s="12" t="str">
        <f t="shared" si="0"/>
        <v>System Pressure</v>
      </c>
    </row>
    <row r="11" spans="1:8" x14ac:dyDescent="0.35">
      <c r="A11" t="s">
        <v>21</v>
      </c>
      <c r="B11">
        <v>562993</v>
      </c>
      <c r="C11">
        <v>3328274</v>
      </c>
      <c r="D11">
        <v>217</v>
      </c>
      <c r="E11" s="12">
        <v>5.91175023490523</v>
      </c>
      <c r="F11" s="12" t="str">
        <f t="shared" si="0"/>
        <v>Efficient / High Turnover</v>
      </c>
    </row>
    <row r="12" spans="1:8" x14ac:dyDescent="0.35">
      <c r="A12" t="s">
        <v>22</v>
      </c>
      <c r="B12">
        <v>207197</v>
      </c>
      <c r="C12">
        <v>1391255</v>
      </c>
      <c r="D12">
        <v>223</v>
      </c>
      <c r="E12" s="12">
        <v>6.7146483781135826</v>
      </c>
      <c r="F12" s="12" t="str">
        <f t="shared" si="0"/>
        <v>System Pressure</v>
      </c>
    </row>
    <row r="13" spans="1:8" x14ac:dyDescent="0.35">
      <c r="A13" t="s">
        <v>23</v>
      </c>
      <c r="B13">
        <v>24086</v>
      </c>
      <c r="C13">
        <v>189384</v>
      </c>
      <c r="D13">
        <v>159</v>
      </c>
      <c r="E13" s="12">
        <v>7.862824877522212</v>
      </c>
      <c r="F13" s="12" t="str">
        <f t="shared" si="0"/>
        <v>Inefficient</v>
      </c>
    </row>
    <row r="14" spans="1:8" x14ac:dyDescent="0.35">
      <c r="A14" t="s">
        <v>24</v>
      </c>
      <c r="B14">
        <v>20348</v>
      </c>
      <c r="C14">
        <v>118235</v>
      </c>
      <c r="D14">
        <v>126</v>
      </c>
      <c r="E14" s="12">
        <v>5.8106447808138393</v>
      </c>
      <c r="F14" s="12" t="str">
        <f t="shared" si="0"/>
        <v>Underused but Efficient</v>
      </c>
    </row>
    <row r="15" spans="1:8" x14ac:dyDescent="0.35">
      <c r="A15" t="s">
        <v>25</v>
      </c>
      <c r="B15">
        <v>193801</v>
      </c>
      <c r="C15">
        <v>1171422</v>
      </c>
      <c r="D15">
        <v>220</v>
      </c>
      <c r="E15" s="12">
        <v>6.0444579749330503</v>
      </c>
      <c r="F15" s="12" t="str">
        <f t="shared" si="0"/>
        <v>Efficient / High Turnover</v>
      </c>
    </row>
    <row r="16" spans="1:8" x14ac:dyDescent="0.35">
      <c r="A16" t="s">
        <v>26</v>
      </c>
      <c r="B16">
        <v>125164</v>
      </c>
      <c r="C16">
        <v>745284</v>
      </c>
      <c r="D16">
        <v>216</v>
      </c>
      <c r="E16" s="12">
        <v>5.9544597488095619</v>
      </c>
      <c r="F16" s="12" t="str">
        <f t="shared" si="0"/>
        <v>Efficient / High Turnover</v>
      </c>
    </row>
    <row r="17" spans="1:13" x14ac:dyDescent="0.35">
      <c r="A17" t="s">
        <v>27</v>
      </c>
      <c r="B17">
        <v>33551</v>
      </c>
      <c r="C17">
        <v>192823</v>
      </c>
      <c r="D17">
        <v>162</v>
      </c>
      <c r="E17" s="12">
        <v>5.7471610384191232</v>
      </c>
      <c r="F17" s="12" t="str">
        <f t="shared" si="0"/>
        <v>Underused but Efficient</v>
      </c>
    </row>
    <row r="18" spans="1:13" x14ac:dyDescent="0.35">
      <c r="A18" t="s">
        <v>28</v>
      </c>
      <c r="B18">
        <v>34289</v>
      </c>
      <c r="C18">
        <v>180567</v>
      </c>
      <c r="D18">
        <v>211</v>
      </c>
      <c r="E18" s="12">
        <v>5.2660328385196422</v>
      </c>
      <c r="F18" s="12" t="str">
        <f t="shared" si="0"/>
        <v>Efficient / High Turnover</v>
      </c>
    </row>
    <row r="19" spans="1:13" x14ac:dyDescent="0.35">
      <c r="A19" t="s">
        <v>29</v>
      </c>
      <c r="B19">
        <v>102790</v>
      </c>
      <c r="C19">
        <v>685107</v>
      </c>
      <c r="D19">
        <v>223</v>
      </c>
      <c r="E19" s="12">
        <v>6.6651133378733336</v>
      </c>
      <c r="F19" s="12" t="str">
        <f t="shared" si="0"/>
        <v>System Pressure</v>
      </c>
    </row>
    <row r="20" spans="1:13" x14ac:dyDescent="0.35">
      <c r="A20" t="s">
        <v>30</v>
      </c>
      <c r="B20">
        <v>93573</v>
      </c>
      <c r="C20">
        <v>553852</v>
      </c>
      <c r="D20">
        <v>205</v>
      </c>
      <c r="E20" s="12">
        <v>5.9189296057623464</v>
      </c>
      <c r="F20" s="12" t="str">
        <f t="shared" si="0"/>
        <v>Efficient / High Turnover</v>
      </c>
    </row>
    <row r="21" spans="1:13" x14ac:dyDescent="0.35">
      <c r="A21" t="s">
        <v>31</v>
      </c>
      <c r="B21">
        <v>22550</v>
      </c>
      <c r="C21">
        <v>167711</v>
      </c>
      <c r="D21">
        <v>120</v>
      </c>
      <c r="E21" s="12">
        <v>7.4372949002217297</v>
      </c>
      <c r="F21" s="12" t="str">
        <f t="shared" si="0"/>
        <v>Inefficient</v>
      </c>
    </row>
    <row r="22" spans="1:13" x14ac:dyDescent="0.35">
      <c r="A22" t="s">
        <v>32</v>
      </c>
      <c r="B22">
        <v>41945</v>
      </c>
      <c r="C22">
        <v>298360</v>
      </c>
      <c r="D22">
        <v>201</v>
      </c>
      <c r="E22" s="12">
        <v>7.1131243294790796</v>
      </c>
      <c r="F22" s="12" t="str">
        <f t="shared" si="0"/>
        <v>System Pressure</v>
      </c>
    </row>
    <row r="23" spans="1:13" x14ac:dyDescent="0.35">
      <c r="A23" t="s">
        <v>33</v>
      </c>
      <c r="B23">
        <v>100035</v>
      </c>
      <c r="C23">
        <v>654517</v>
      </c>
      <c r="D23">
        <v>228</v>
      </c>
      <c r="E23" s="12">
        <v>6.5428799920027991</v>
      </c>
      <c r="F23" s="12" t="str">
        <f t="shared" si="0"/>
        <v>System Pressure</v>
      </c>
    </row>
    <row r="24" spans="1:13" x14ac:dyDescent="0.35">
      <c r="A24" t="s">
        <v>34</v>
      </c>
      <c r="B24">
        <v>247920</v>
      </c>
      <c r="C24">
        <v>1521371</v>
      </c>
      <c r="D24">
        <v>206</v>
      </c>
      <c r="E24" s="12">
        <v>6.136540012907389</v>
      </c>
      <c r="F24" s="12" t="str">
        <f t="shared" si="0"/>
        <v>Efficient / High Turnover</v>
      </c>
      <c r="I24" t="s">
        <v>119</v>
      </c>
      <c r="J24" t="s">
        <v>81</v>
      </c>
      <c r="L24" t="s">
        <v>95</v>
      </c>
    </row>
    <row r="25" spans="1:13" x14ac:dyDescent="0.35">
      <c r="A25" t="s">
        <v>35</v>
      </c>
      <c r="B25">
        <v>87122</v>
      </c>
      <c r="C25">
        <v>506524</v>
      </c>
      <c r="D25">
        <v>145</v>
      </c>
      <c r="E25" s="12">
        <v>5.8139620302564223</v>
      </c>
      <c r="F25" s="12" t="str">
        <f t="shared" si="0"/>
        <v>Underused but Efficient</v>
      </c>
      <c r="I25">
        <v>188.5</v>
      </c>
      <c r="J25" s="14">
        <v>0</v>
      </c>
      <c r="L25">
        <v>60</v>
      </c>
      <c r="M25" s="12">
        <f>AVERAGE(E2:E52)</f>
        <v>6.3079311754523122</v>
      </c>
    </row>
    <row r="26" spans="1:13" x14ac:dyDescent="0.35">
      <c r="A26" t="s">
        <v>36</v>
      </c>
      <c r="B26">
        <v>46983</v>
      </c>
      <c r="C26">
        <v>307660</v>
      </c>
      <c r="D26">
        <v>216</v>
      </c>
      <c r="E26" s="12">
        <v>6.5483259902517936</v>
      </c>
      <c r="F26" s="12" t="str">
        <f t="shared" si="0"/>
        <v>System Pressure</v>
      </c>
      <c r="I26">
        <v>188.5</v>
      </c>
      <c r="J26">
        <v>10</v>
      </c>
      <c r="L26">
        <v>290</v>
      </c>
      <c r="M26" s="12">
        <f>AVERAGE(E2:E52)</f>
        <v>6.3079311754523122</v>
      </c>
    </row>
    <row r="27" spans="1:13" x14ac:dyDescent="0.35">
      <c r="A27" t="s">
        <v>37</v>
      </c>
      <c r="B27">
        <v>141333</v>
      </c>
      <c r="C27">
        <v>814817</v>
      </c>
      <c r="D27">
        <v>232</v>
      </c>
      <c r="E27" s="12">
        <v>5.7652282198778773</v>
      </c>
      <c r="F27" s="12" t="str">
        <f t="shared" si="0"/>
        <v>Efficient / High Turnover</v>
      </c>
    </row>
    <row r="28" spans="1:13" x14ac:dyDescent="0.35">
      <c r="A28" t="s">
        <v>38</v>
      </c>
      <c r="B28">
        <v>8705</v>
      </c>
      <c r="C28">
        <v>54161</v>
      </c>
      <c r="D28">
        <v>137</v>
      </c>
      <c r="E28" s="12">
        <v>6.2218265364732916</v>
      </c>
      <c r="F28" s="12" t="str">
        <f t="shared" si="0"/>
        <v>Underused but Efficient</v>
      </c>
    </row>
    <row r="29" spans="1:13" ht="16" x14ac:dyDescent="0.4">
      <c r="A29" t="s">
        <v>39</v>
      </c>
      <c r="B29">
        <v>17676</v>
      </c>
      <c r="C29">
        <v>113153</v>
      </c>
      <c r="D29">
        <v>168</v>
      </c>
      <c r="E29" s="12">
        <v>6.4015048653541529</v>
      </c>
      <c r="F29" s="12" t="str">
        <f t="shared" si="0"/>
        <v>Inefficient</v>
      </c>
      <c r="I29" s="25" t="str">
        <f>"System Pressure (" &amp; COUNTA(I30:I42) &amp; ")"</f>
        <v>System Pressure (13)</v>
      </c>
      <c r="J29" s="26" t="str">
        <f>"High Turnover (" &amp; COUNTA(J30:J46) &amp; ")"</f>
        <v>High Turnover (17)</v>
      </c>
      <c r="K29" s="27" t="str">
        <f>"Underused but Efficient (" &amp; COUNTA(K30:K41) &amp; ")"</f>
        <v>Underused but Efficient (11)</v>
      </c>
      <c r="L29" s="28" t="str">
        <f>"Inefficient (" &amp; COUNTA(L30:L38) &amp; ")"</f>
        <v>Inefficient (9)</v>
      </c>
    </row>
    <row r="30" spans="1:13" x14ac:dyDescent="0.35">
      <c r="A30" t="s">
        <v>40</v>
      </c>
      <c r="B30">
        <v>57568</v>
      </c>
      <c r="C30">
        <v>356465</v>
      </c>
      <c r="D30">
        <v>216</v>
      </c>
      <c r="E30" s="12">
        <v>6.1920685102834909</v>
      </c>
      <c r="F30" s="12" t="str">
        <f t="shared" si="0"/>
        <v>Efficient / High Turnover</v>
      </c>
      <c r="I30" s="23" t="str" cm="1">
        <f t="array" ref="I30:I42">_xlfn._xlws.SORT(_xlfn._xlws.FILTER($A$2:$A$52, $F$2:$F$52="System Pressure"))</f>
        <v>Alabama</v>
      </c>
      <c r="J30" t="str" cm="1">
        <f t="array" ref="J30:J47">_xlfn._xlws.SORT(_xlfn._xlws.FILTER($A$2:$A$52, $F$2:$F$52="Efficient / High Turnover"))</f>
        <v>Arizona</v>
      </c>
      <c r="K30" t="str" cm="1">
        <f t="array" ref="K30:K40">_xlfn._xlws.SORT(_xlfn._xlws.FILTER($A$2:$A$52, $F$2:$F$52="Underused but Efficient"))</f>
        <v>California</v>
      </c>
      <c r="L30" s="24" t="str" cm="1">
        <f t="array" ref="L30:L38">_xlfn._xlws.SORT(_xlfn._xlws.FILTER($A$2:$A$52, $F$2:$F$52="Inefficient"))</f>
        <v>Alaska</v>
      </c>
    </row>
    <row r="31" spans="1:13" x14ac:dyDescent="0.35">
      <c r="A31" t="s">
        <v>41</v>
      </c>
      <c r="B31">
        <v>14597</v>
      </c>
      <c r="C31">
        <v>99528</v>
      </c>
      <c r="D31">
        <v>153</v>
      </c>
      <c r="E31" s="12">
        <v>6.8183873398643557</v>
      </c>
      <c r="F31" s="12" t="str">
        <f t="shared" si="0"/>
        <v>Inefficient</v>
      </c>
      <c r="I31" s="23" t="str">
        <v>Delaware</v>
      </c>
      <c r="J31" t="str">
        <v>Arkansas</v>
      </c>
      <c r="K31" t="str">
        <v>Colorado</v>
      </c>
      <c r="L31" s="24" t="str">
        <v>Hawaii</v>
      </c>
    </row>
    <row r="32" spans="1:13" x14ac:dyDescent="0.35">
      <c r="A32" t="s">
        <v>42</v>
      </c>
      <c r="B32">
        <v>143738</v>
      </c>
      <c r="C32">
        <v>887058</v>
      </c>
      <c r="D32">
        <v>230</v>
      </c>
      <c r="E32" s="12">
        <v>6.1713534347215075</v>
      </c>
      <c r="F32" s="12" t="str">
        <f t="shared" si="0"/>
        <v>Efficient / High Turnover</v>
      </c>
      <c r="I32" s="23" t="str">
        <v>District of Columbia</v>
      </c>
      <c r="J32" t="str">
        <v>Connecticut</v>
      </c>
      <c r="K32" t="str">
        <v>Idaho</v>
      </c>
      <c r="L32" s="24" t="str">
        <v>Maine</v>
      </c>
    </row>
    <row r="33" spans="1:12" x14ac:dyDescent="0.35">
      <c r="A33" t="s">
        <v>43</v>
      </c>
      <c r="B33">
        <v>33947</v>
      </c>
      <c r="C33">
        <v>201889</v>
      </c>
      <c r="D33">
        <v>166</v>
      </c>
      <c r="E33" s="12">
        <v>5.9471823725218727</v>
      </c>
      <c r="F33" s="12" t="str">
        <f t="shared" si="0"/>
        <v>Underused but Efficient</v>
      </c>
      <c r="I33" s="23" t="str">
        <v>Georgia</v>
      </c>
      <c r="J33" t="str">
        <v>Florida</v>
      </c>
      <c r="K33" t="str">
        <v>Iowa</v>
      </c>
      <c r="L33" s="24" t="str">
        <v>Nebraska</v>
      </c>
    </row>
    <row r="34" spans="1:12" x14ac:dyDescent="0.35">
      <c r="A34" t="s">
        <v>44</v>
      </c>
      <c r="B34">
        <v>383219</v>
      </c>
      <c r="C34">
        <v>2596405</v>
      </c>
      <c r="D34">
        <v>211</v>
      </c>
      <c r="E34" s="12">
        <v>6.7752512271051275</v>
      </c>
      <c r="F34" s="12" t="str">
        <f t="shared" ref="F34:F53" si="1">IF(AND(D34&gt;188,E34&gt;6.3),"System Pressure",IF(AND(D34&lt;188,E34&gt;6.3),"Inefficient",IF(AND(D34&lt;188,E34&lt;6.3),"Underused but Efficient","Efficient / High Turnover")))</f>
        <v>System Pressure</v>
      </c>
      <c r="I34" s="23" t="str">
        <v>Kentucky</v>
      </c>
      <c r="J34" t="str">
        <v>Illinois</v>
      </c>
      <c r="K34" t="str">
        <v>Minnesota</v>
      </c>
      <c r="L34" s="24" t="str">
        <v>New Hampshire</v>
      </c>
    </row>
    <row r="35" spans="1:12" x14ac:dyDescent="0.35">
      <c r="A35" t="s">
        <v>45</v>
      </c>
      <c r="B35">
        <v>199504</v>
      </c>
      <c r="C35">
        <v>1276274</v>
      </c>
      <c r="D35">
        <v>193</v>
      </c>
      <c r="E35" s="12">
        <v>6.3972351431550241</v>
      </c>
      <c r="F35" s="12" t="str">
        <f t="shared" si="1"/>
        <v>System Pressure</v>
      </c>
      <c r="I35" s="23" t="str">
        <v>Maryland</v>
      </c>
      <c r="J35" t="str">
        <v>Indiana</v>
      </c>
      <c r="K35" t="str">
        <v>Montana</v>
      </c>
      <c r="L35" s="24" t="str">
        <v>Oregon</v>
      </c>
    </row>
    <row r="36" spans="1:12" x14ac:dyDescent="0.35">
      <c r="A36" t="s">
        <v>46</v>
      </c>
      <c r="B36">
        <v>2653</v>
      </c>
      <c r="C36">
        <v>16091</v>
      </c>
      <c r="D36">
        <v>70</v>
      </c>
      <c r="E36" s="12">
        <v>6.0652091971353181</v>
      </c>
      <c r="F36" s="12" t="str">
        <f t="shared" si="1"/>
        <v>Underused but Efficient</v>
      </c>
      <c r="I36" s="23" t="str">
        <v>Massachusetts</v>
      </c>
      <c r="J36" t="str">
        <v>Kansas</v>
      </c>
      <c r="K36" t="str">
        <v>New Mexico</v>
      </c>
      <c r="L36" s="24" t="str">
        <v>Puerto Rico</v>
      </c>
    </row>
    <row r="37" spans="1:12" x14ac:dyDescent="0.35">
      <c r="A37" t="s">
        <v>47</v>
      </c>
      <c r="B37">
        <v>290867</v>
      </c>
      <c r="C37">
        <v>1651439</v>
      </c>
      <c r="D37">
        <v>231</v>
      </c>
      <c r="E37" s="12">
        <v>5.6776430464782877</v>
      </c>
      <c r="F37" s="12" t="str">
        <f t="shared" si="1"/>
        <v>Efficient / High Turnover</v>
      </c>
      <c r="I37" s="23" t="str">
        <v>Mississippi</v>
      </c>
      <c r="J37" t="str">
        <v>Louisiana</v>
      </c>
      <c r="K37" t="str">
        <v>North Dakota</v>
      </c>
      <c r="L37" s="24" t="str">
        <v>Vermont</v>
      </c>
    </row>
    <row r="38" spans="1:12" x14ac:dyDescent="0.35">
      <c r="A38" t="s">
        <v>48</v>
      </c>
      <c r="B38">
        <v>64145</v>
      </c>
      <c r="C38">
        <v>362229</v>
      </c>
      <c r="D38">
        <v>238</v>
      </c>
      <c r="E38" s="12">
        <v>5.647034063449996</v>
      </c>
      <c r="F38" s="12" t="str">
        <f t="shared" si="1"/>
        <v>Efficient / High Turnover</v>
      </c>
      <c r="I38" s="23" t="str">
        <v>New York</v>
      </c>
      <c r="J38" t="str">
        <v>Michigan</v>
      </c>
      <c r="K38" t="str">
        <v>South Dakota</v>
      </c>
      <c r="L38" s="24" t="str">
        <v>Washington</v>
      </c>
    </row>
    <row r="39" spans="1:12" x14ac:dyDescent="0.35">
      <c r="A39" t="s">
        <v>49</v>
      </c>
      <c r="B39">
        <v>68523</v>
      </c>
      <c r="C39">
        <v>442949</v>
      </c>
      <c r="D39">
        <v>146</v>
      </c>
      <c r="E39" s="12">
        <v>6.4642382849554165</v>
      </c>
      <c r="F39" s="12" t="str">
        <f t="shared" si="1"/>
        <v>Inefficient</v>
      </c>
      <c r="I39" s="23" t="str">
        <v>North Carolina</v>
      </c>
      <c r="J39" t="str">
        <v>Missouri</v>
      </c>
      <c r="K39" t="str">
        <v>Utah</v>
      </c>
      <c r="L39" s="24"/>
    </row>
    <row r="40" spans="1:12" x14ac:dyDescent="0.35">
      <c r="A40" t="s">
        <v>50</v>
      </c>
      <c r="B40">
        <v>316201</v>
      </c>
      <c r="C40">
        <v>1807692</v>
      </c>
      <c r="D40">
        <v>227</v>
      </c>
      <c r="E40" s="12">
        <v>5.7169079161672478</v>
      </c>
      <c r="F40" s="12" t="str">
        <f t="shared" si="1"/>
        <v>Efficient / High Turnover</v>
      </c>
      <c r="I40" s="23" t="str">
        <v>South Carolina</v>
      </c>
      <c r="J40" t="str">
        <v>Nevada</v>
      </c>
      <c r="K40" t="str">
        <v>Wisconsin</v>
      </c>
      <c r="L40" s="24"/>
    </row>
    <row r="41" spans="1:12" x14ac:dyDescent="0.35">
      <c r="A41" t="s">
        <v>63</v>
      </c>
      <c r="B41">
        <v>25823</v>
      </c>
      <c r="C41">
        <v>152274</v>
      </c>
      <c r="D41">
        <v>173</v>
      </c>
      <c r="E41" s="12">
        <v>6.924105229562759</v>
      </c>
      <c r="F41" s="12" t="str">
        <f t="shared" si="1"/>
        <v>Inefficient</v>
      </c>
      <c r="I41" s="23" t="str">
        <v>Tennessee</v>
      </c>
      <c r="J41" t="str">
        <v>New Jersey</v>
      </c>
      <c r="L41" s="24"/>
    </row>
    <row r="42" spans="1:12" x14ac:dyDescent="0.35">
      <c r="A42" t="s">
        <v>51</v>
      </c>
      <c r="B42">
        <v>105733</v>
      </c>
      <c r="C42">
        <v>677202</v>
      </c>
      <c r="D42">
        <v>205</v>
      </c>
      <c r="E42" s="12">
        <v>5.8968361538163654</v>
      </c>
      <c r="F42" s="12" t="str">
        <f t="shared" si="1"/>
        <v>Efficient / High Turnover</v>
      </c>
      <c r="I42" s="23" t="str">
        <v>Virginia</v>
      </c>
      <c r="J42" t="str">
        <v>Ohio</v>
      </c>
      <c r="L42" s="24"/>
    </row>
    <row r="43" spans="1:12" x14ac:dyDescent="0.35">
      <c r="A43" t="s">
        <v>52</v>
      </c>
      <c r="B43">
        <v>4293</v>
      </c>
      <c r="C43">
        <v>26231</v>
      </c>
      <c r="D43">
        <v>224</v>
      </c>
      <c r="E43" s="12">
        <v>6.4048310366678329</v>
      </c>
      <c r="F43" s="12" t="str">
        <f t="shared" si="1"/>
        <v>System Pressure</v>
      </c>
      <c r="I43" s="23"/>
      <c r="J43" t="str">
        <v>Oklahoma</v>
      </c>
      <c r="L43" s="24"/>
    </row>
    <row r="44" spans="1:12" x14ac:dyDescent="0.35">
      <c r="A44" t="s">
        <v>53</v>
      </c>
      <c r="B44">
        <v>150603</v>
      </c>
      <c r="C44">
        <v>973729</v>
      </c>
      <c r="D44">
        <v>76</v>
      </c>
      <c r="E44" s="12">
        <v>6.1101793617516886</v>
      </c>
      <c r="F44" s="12" t="str">
        <f t="shared" si="1"/>
        <v>Underused but Efficient</v>
      </c>
      <c r="I44" s="23"/>
      <c r="J44" t="str">
        <v>Pennsylvania</v>
      </c>
      <c r="L44" s="24"/>
    </row>
    <row r="45" spans="1:12" x14ac:dyDescent="0.35">
      <c r="A45" t="s">
        <v>54</v>
      </c>
      <c r="B45">
        <v>502080</v>
      </c>
      <c r="C45">
        <v>2935505</v>
      </c>
      <c r="D45">
        <v>219</v>
      </c>
      <c r="E45" s="12">
        <v>6.4655352151019567</v>
      </c>
      <c r="F45" s="12" t="str">
        <f t="shared" si="1"/>
        <v>System Pressure</v>
      </c>
      <c r="I45" s="23"/>
      <c r="J45" t="str">
        <v>Rhode Island</v>
      </c>
      <c r="L45" s="24"/>
    </row>
    <row r="46" spans="1:12" x14ac:dyDescent="0.35">
      <c r="A46" t="s">
        <v>55</v>
      </c>
      <c r="B46">
        <v>27756</v>
      </c>
      <c r="C46">
        <v>125253</v>
      </c>
      <c r="D46">
        <v>227</v>
      </c>
      <c r="E46" s="12">
        <v>5.8466877788400256</v>
      </c>
      <c r="F46" s="12" t="str">
        <f t="shared" si="1"/>
        <v>Efficient / High Turnover</v>
      </c>
      <c r="I46" s="23"/>
      <c r="J46" t="str">
        <v>Texas</v>
      </c>
      <c r="L46" s="24"/>
    </row>
    <row r="47" spans="1:12" x14ac:dyDescent="0.35">
      <c r="A47" t="s">
        <v>56</v>
      </c>
      <c r="B47">
        <v>5594</v>
      </c>
      <c r="C47">
        <v>39814</v>
      </c>
      <c r="D47">
        <v>137</v>
      </c>
      <c r="E47" s="12">
        <v>4.5126459143968871</v>
      </c>
      <c r="F47" s="12" t="str">
        <f t="shared" si="1"/>
        <v>Underused but Efficient</v>
      </c>
      <c r="J47" t="str">
        <v>West Virginia</v>
      </c>
    </row>
    <row r="48" spans="1:12" x14ac:dyDescent="0.35">
      <c r="A48" t="s">
        <v>57</v>
      </c>
      <c r="B48">
        <v>118522</v>
      </c>
      <c r="C48">
        <v>753701</v>
      </c>
      <c r="D48">
        <v>130</v>
      </c>
      <c r="E48" s="12">
        <v>7.1172685019663922</v>
      </c>
      <c r="F48" s="12" t="str">
        <f t="shared" si="1"/>
        <v>Inefficient</v>
      </c>
      <c r="J48" s="1"/>
      <c r="K48" s="1"/>
      <c r="L48" s="1"/>
    </row>
    <row r="49" spans="1:6" x14ac:dyDescent="0.35">
      <c r="A49" t="s">
        <v>58</v>
      </c>
      <c r="B49">
        <v>94435</v>
      </c>
      <c r="C49">
        <v>700088</v>
      </c>
      <c r="D49">
        <v>222</v>
      </c>
      <c r="E49" s="12">
        <v>6.3591653870167564</v>
      </c>
      <c r="F49" s="12" t="str">
        <f t="shared" si="1"/>
        <v>System Pressure</v>
      </c>
    </row>
    <row r="50" spans="1:6" x14ac:dyDescent="0.35">
      <c r="A50" t="s">
        <v>59</v>
      </c>
      <c r="B50">
        <v>43190</v>
      </c>
      <c r="C50">
        <v>261452</v>
      </c>
      <c r="D50">
        <v>153</v>
      </c>
      <c r="E50" s="12">
        <v>7.4134378143696722</v>
      </c>
      <c r="F50" s="12" t="str">
        <f t="shared" si="1"/>
        <v>Inefficient</v>
      </c>
    </row>
    <row r="51" spans="1:6" x14ac:dyDescent="0.35">
      <c r="A51" t="s">
        <v>60</v>
      </c>
      <c r="B51">
        <v>95935</v>
      </c>
      <c r="C51">
        <v>593111</v>
      </c>
      <c r="D51">
        <v>208</v>
      </c>
      <c r="E51" s="12">
        <v>6.0535309099328547</v>
      </c>
      <c r="F51" s="12" t="str">
        <f t="shared" si="1"/>
        <v>Efficient / High Turnover</v>
      </c>
    </row>
    <row r="52" spans="1:6" x14ac:dyDescent="0.35">
      <c r="A52" t="s">
        <v>61</v>
      </c>
      <c r="B52">
        <v>1660</v>
      </c>
      <c r="C52">
        <v>9232</v>
      </c>
      <c r="D52">
        <v>147</v>
      </c>
      <c r="E52" s="12">
        <v>6.1824256006671181</v>
      </c>
      <c r="F52" s="12" t="str">
        <f t="shared" si="1"/>
        <v>Underused but Efficient</v>
      </c>
    </row>
    <row r="53" spans="1:6" s="1" customFormat="1" x14ac:dyDescent="0.35">
      <c r="A53" t="s">
        <v>62</v>
      </c>
      <c r="B53">
        <v>109665</v>
      </c>
      <c r="C53">
        <v>759332</v>
      </c>
      <c r="D53">
        <v>162</v>
      </c>
      <c r="E53" s="12">
        <v>5.5614457831325304</v>
      </c>
      <c r="F53" s="12" t="str">
        <f t="shared" si="1"/>
        <v>Underused but Efficient</v>
      </c>
    </row>
  </sheetData>
  <sortState xmlns:xlrd2="http://schemas.microsoft.com/office/spreadsheetml/2017/richdata2" ref="A2:F53">
    <sortCondition ref="A2:A5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0143-82BF-4DC0-9F53-506C0ACCA842}">
  <dimension ref="A1:B54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7" bestFit="1" customWidth="1"/>
    <col min="2" max="2" width="25.453125" style="12" bestFit="1" customWidth="1"/>
    <col min="3" max="4" width="20.90625" bestFit="1" customWidth="1"/>
  </cols>
  <sheetData>
    <row r="1" spans="1:2" x14ac:dyDescent="0.35">
      <c r="A1" s="2" t="s">
        <v>65</v>
      </c>
      <c r="B1" s="12" t="s">
        <v>66</v>
      </c>
    </row>
    <row r="2" spans="1:2" x14ac:dyDescent="0.35">
      <c r="A2" s="3" t="s">
        <v>44</v>
      </c>
      <c r="B2" s="12">
        <v>6.7752512271051284</v>
      </c>
    </row>
    <row r="3" spans="1:2" x14ac:dyDescent="0.35">
      <c r="A3" s="3" t="s">
        <v>41</v>
      </c>
      <c r="B3" s="12">
        <v>6.8183873398643557</v>
      </c>
    </row>
    <row r="4" spans="1:2" x14ac:dyDescent="0.35">
      <c r="A4" s="3" t="s">
        <v>63</v>
      </c>
      <c r="B4" s="12">
        <v>6.924105229562759</v>
      </c>
    </row>
    <row r="5" spans="1:2" x14ac:dyDescent="0.35">
      <c r="A5" s="3" t="s">
        <v>32</v>
      </c>
      <c r="B5" s="12">
        <v>7.1131243294790796</v>
      </c>
    </row>
    <row r="6" spans="1:2" x14ac:dyDescent="0.35">
      <c r="A6" s="3" t="s">
        <v>57</v>
      </c>
      <c r="B6" s="12">
        <v>7.1172685019663922</v>
      </c>
    </row>
    <row r="7" spans="1:2" x14ac:dyDescent="0.35">
      <c r="A7" s="3" t="s">
        <v>59</v>
      </c>
      <c r="B7" s="12">
        <v>7.4134378143696722</v>
      </c>
    </row>
    <row r="8" spans="1:2" x14ac:dyDescent="0.35">
      <c r="A8" s="3" t="s">
        <v>31</v>
      </c>
      <c r="B8" s="12">
        <v>7.4372949002217297</v>
      </c>
    </row>
    <row r="9" spans="1:2" x14ac:dyDescent="0.35">
      <c r="A9" s="3" t="s">
        <v>19</v>
      </c>
      <c r="B9" s="12">
        <v>7.6350638428014372</v>
      </c>
    </row>
    <row r="10" spans="1:2" x14ac:dyDescent="0.35">
      <c r="A10" s="3" t="s">
        <v>23</v>
      </c>
      <c r="B10" s="12">
        <v>7.862824877522212</v>
      </c>
    </row>
    <row r="11" spans="1:2" x14ac:dyDescent="0.35">
      <c r="A11" s="3" t="s">
        <v>20</v>
      </c>
      <c r="B11" s="12">
        <v>8.7541789577187803</v>
      </c>
    </row>
    <row r="12" spans="1:2" x14ac:dyDescent="0.35">
      <c r="A12" s="3" t="s">
        <v>65</v>
      </c>
      <c r="B12" s="12">
        <v>7.3850937020611553</v>
      </c>
    </row>
    <row r="13" spans="1:2" x14ac:dyDescent="0.35">
      <c r="B13"/>
    </row>
    <row r="14" spans="1:2" x14ac:dyDescent="0.35">
      <c r="B14"/>
    </row>
    <row r="15" spans="1:2" x14ac:dyDescent="0.35">
      <c r="B15"/>
    </row>
    <row r="16" spans="1:2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455F-6B68-4D14-B34C-065BF3218AC5}">
  <dimension ref="A1:G54"/>
  <sheetViews>
    <sheetView workbookViewId="0">
      <selection activeCell="G29" sqref="G29"/>
    </sheetView>
  </sheetViews>
  <sheetFormatPr defaultRowHeight="14.5" x14ac:dyDescent="0.35"/>
  <cols>
    <col min="1" max="1" width="11.36328125" bestFit="1" customWidth="1"/>
    <col min="2" max="2" width="25.453125" style="12" bestFit="1" customWidth="1"/>
    <col min="3" max="4" width="20.90625" bestFit="1" customWidth="1"/>
  </cols>
  <sheetData>
    <row r="1" spans="1:2" x14ac:dyDescent="0.35">
      <c r="A1" s="2" t="s">
        <v>65</v>
      </c>
      <c r="B1" s="12" t="s">
        <v>66</v>
      </c>
    </row>
    <row r="2" spans="1:2" x14ac:dyDescent="0.35">
      <c r="A2" s="3" t="s">
        <v>56</v>
      </c>
      <c r="B2" s="12">
        <v>4.5126459143968871</v>
      </c>
    </row>
    <row r="3" spans="1:2" x14ac:dyDescent="0.35">
      <c r="A3" s="3" t="s">
        <v>28</v>
      </c>
      <c r="B3" s="12">
        <v>5.2660328385196422</v>
      </c>
    </row>
    <row r="4" spans="1:2" x14ac:dyDescent="0.35">
      <c r="A4" s="3" t="s">
        <v>62</v>
      </c>
      <c r="B4" s="12">
        <v>5.5614457831325304</v>
      </c>
    </row>
    <row r="5" spans="1:2" x14ac:dyDescent="0.35">
      <c r="A5" s="3" t="s">
        <v>17</v>
      </c>
      <c r="B5" s="12">
        <v>5.5674924035638877</v>
      </c>
    </row>
    <row r="6" spans="1:2" x14ac:dyDescent="0.35">
      <c r="A6" s="3" t="s">
        <v>48</v>
      </c>
      <c r="B6" s="12">
        <v>5.647034063449996</v>
      </c>
    </row>
    <row r="7" spans="1:2" x14ac:dyDescent="0.35">
      <c r="A7" s="3" t="s">
        <v>47</v>
      </c>
      <c r="B7" s="12">
        <v>5.6776430464782877</v>
      </c>
    </row>
    <row r="8" spans="1:2" x14ac:dyDescent="0.35">
      <c r="A8" s="3" t="s">
        <v>16</v>
      </c>
      <c r="B8" s="12">
        <v>5.6851282646097934</v>
      </c>
    </row>
    <row r="9" spans="1:2" x14ac:dyDescent="0.35">
      <c r="A9" s="3" t="s">
        <v>50</v>
      </c>
      <c r="B9" s="12">
        <v>5.7169079161672478</v>
      </c>
    </row>
    <row r="10" spans="1:2" x14ac:dyDescent="0.35">
      <c r="A10" s="3" t="s">
        <v>27</v>
      </c>
      <c r="B10" s="12">
        <v>5.7471610384191232</v>
      </c>
    </row>
    <row r="11" spans="1:2" x14ac:dyDescent="0.35">
      <c r="A11" s="3" t="s">
        <v>15</v>
      </c>
      <c r="B11" s="12">
        <v>5.7532427371278372</v>
      </c>
    </row>
    <row r="12" spans="1:2" x14ac:dyDescent="0.35">
      <c r="A12" s="3" t="s">
        <v>65</v>
      </c>
      <c r="B12" s="12">
        <v>5.5134734005865225</v>
      </c>
    </row>
    <row r="13" spans="1:2" x14ac:dyDescent="0.35">
      <c r="B13"/>
    </row>
    <row r="14" spans="1:2" x14ac:dyDescent="0.35">
      <c r="B14"/>
    </row>
    <row r="15" spans="1:2" x14ac:dyDescent="0.35">
      <c r="B15"/>
    </row>
    <row r="16" spans="1:2" x14ac:dyDescent="0.35">
      <c r="B16"/>
    </row>
    <row r="17" spans="2:7" x14ac:dyDescent="0.35">
      <c r="B17"/>
    </row>
    <row r="18" spans="2:7" x14ac:dyDescent="0.35">
      <c r="B18"/>
    </row>
    <row r="19" spans="2:7" x14ac:dyDescent="0.35">
      <c r="B19"/>
    </row>
    <row r="20" spans="2:7" x14ac:dyDescent="0.35">
      <c r="B20"/>
    </row>
    <row r="21" spans="2:7" x14ac:dyDescent="0.35">
      <c r="B21"/>
    </row>
    <row r="22" spans="2:7" x14ac:dyDescent="0.35">
      <c r="B22"/>
    </row>
    <row r="23" spans="2:7" x14ac:dyDescent="0.35">
      <c r="B23"/>
    </row>
    <row r="24" spans="2:7" x14ac:dyDescent="0.35">
      <c r="B24"/>
    </row>
    <row r="25" spans="2:7" x14ac:dyDescent="0.35">
      <c r="B25"/>
    </row>
    <row r="26" spans="2:7" x14ac:dyDescent="0.35">
      <c r="B26"/>
    </row>
    <row r="27" spans="2:7" x14ac:dyDescent="0.35">
      <c r="B27"/>
    </row>
    <row r="28" spans="2:7" x14ac:dyDescent="0.35">
      <c r="B28"/>
    </row>
    <row r="29" spans="2:7" x14ac:dyDescent="0.35">
      <c r="B29"/>
      <c r="G29" t="s">
        <v>78</v>
      </c>
    </row>
    <row r="30" spans="2:7" x14ac:dyDescent="0.35">
      <c r="B30"/>
    </row>
    <row r="31" spans="2:7" x14ac:dyDescent="0.35">
      <c r="B31"/>
    </row>
    <row r="32" spans="2:7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0E19-528A-43AD-ACC0-C8D797A042FA}">
  <dimension ref="A3:H13"/>
  <sheetViews>
    <sheetView workbookViewId="0">
      <selection activeCell="J26" sqref="J26"/>
    </sheetView>
  </sheetViews>
  <sheetFormatPr defaultRowHeight="14.5" x14ac:dyDescent="0.35"/>
  <cols>
    <col min="1" max="1" width="17" bestFit="1" customWidth="1"/>
    <col min="2" max="2" width="49.81640625" bestFit="1" customWidth="1"/>
    <col min="7" max="7" width="11.6328125" bestFit="1" customWidth="1"/>
    <col min="8" max="8" width="49.81640625" bestFit="1" customWidth="1"/>
  </cols>
  <sheetData>
    <row r="3" spans="1:8" x14ac:dyDescent="0.35">
      <c r="A3" s="2" t="s">
        <v>121</v>
      </c>
      <c r="B3" t="s">
        <v>80</v>
      </c>
      <c r="G3" s="2" t="s">
        <v>125</v>
      </c>
      <c r="H3" t="s">
        <v>124</v>
      </c>
    </row>
    <row r="4" spans="1:8" x14ac:dyDescent="0.35">
      <c r="A4" s="3" t="s">
        <v>12</v>
      </c>
      <c r="B4">
        <v>225</v>
      </c>
      <c r="G4" s="3" t="s">
        <v>61</v>
      </c>
      <c r="H4">
        <v>147</v>
      </c>
    </row>
    <row r="5" spans="1:8" x14ac:dyDescent="0.35">
      <c r="A5" s="3" t="s">
        <v>55</v>
      </c>
      <c r="B5">
        <v>227</v>
      </c>
      <c r="G5" s="3" t="s">
        <v>49</v>
      </c>
      <c r="H5">
        <v>146</v>
      </c>
    </row>
    <row r="6" spans="1:8" x14ac:dyDescent="0.35">
      <c r="A6" s="3" t="s">
        <v>50</v>
      </c>
      <c r="B6">
        <v>227</v>
      </c>
      <c r="G6" s="3" t="s">
        <v>35</v>
      </c>
      <c r="H6">
        <v>145</v>
      </c>
    </row>
    <row r="7" spans="1:8" x14ac:dyDescent="0.35">
      <c r="A7" s="3" t="s">
        <v>33</v>
      </c>
      <c r="B7">
        <v>228</v>
      </c>
      <c r="G7" s="3" t="s">
        <v>56</v>
      </c>
      <c r="H7">
        <v>137</v>
      </c>
    </row>
    <row r="8" spans="1:8" x14ac:dyDescent="0.35">
      <c r="A8" s="3" t="s">
        <v>42</v>
      </c>
      <c r="B8">
        <v>230</v>
      </c>
      <c r="G8" s="3" t="s">
        <v>38</v>
      </c>
      <c r="H8">
        <v>137</v>
      </c>
    </row>
    <row r="9" spans="1:8" x14ac:dyDescent="0.35">
      <c r="A9" s="3" t="s">
        <v>47</v>
      </c>
      <c r="B9">
        <v>231</v>
      </c>
      <c r="G9" s="3" t="s">
        <v>57</v>
      </c>
      <c r="H9">
        <v>130</v>
      </c>
    </row>
    <row r="10" spans="1:8" x14ac:dyDescent="0.35">
      <c r="A10" s="3" t="s">
        <v>37</v>
      </c>
      <c r="B10">
        <v>232</v>
      </c>
      <c r="G10" s="3" t="s">
        <v>24</v>
      </c>
      <c r="H10">
        <v>126</v>
      </c>
    </row>
    <row r="11" spans="1:8" x14ac:dyDescent="0.35">
      <c r="A11" s="3" t="s">
        <v>15</v>
      </c>
      <c r="B11">
        <v>235</v>
      </c>
      <c r="G11" s="3" t="s">
        <v>31</v>
      </c>
      <c r="H11">
        <v>120</v>
      </c>
    </row>
    <row r="12" spans="1:8" x14ac:dyDescent="0.35">
      <c r="A12" s="3" t="s">
        <v>48</v>
      </c>
      <c r="B12">
        <v>238</v>
      </c>
      <c r="G12" s="3" t="s">
        <v>53</v>
      </c>
      <c r="H12">
        <v>76</v>
      </c>
    </row>
    <row r="13" spans="1:8" x14ac:dyDescent="0.35">
      <c r="A13" s="3" t="s">
        <v>20</v>
      </c>
      <c r="B13">
        <v>268</v>
      </c>
      <c r="G13" s="3" t="s">
        <v>46</v>
      </c>
      <c r="H13">
        <v>70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A8EC-30A3-4AD2-B8E6-48A01BD9908B}">
  <dimension ref="A3:C8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  <col min="2" max="2" width="8.36328125" bestFit="1" customWidth="1"/>
    <col min="3" max="3" width="13.6328125" bestFit="1" customWidth="1"/>
  </cols>
  <sheetData>
    <row r="3" spans="1:3" x14ac:dyDescent="0.35">
      <c r="A3" s="2" t="s">
        <v>120</v>
      </c>
      <c r="B3" s="2" t="s">
        <v>121</v>
      </c>
      <c r="C3" t="s">
        <v>122</v>
      </c>
    </row>
    <row r="4" spans="1:3" x14ac:dyDescent="0.35">
      <c r="A4" t="s">
        <v>99</v>
      </c>
      <c r="C4">
        <v>18</v>
      </c>
    </row>
    <row r="5" spans="1:3" x14ac:dyDescent="0.35">
      <c r="A5" t="s">
        <v>101</v>
      </c>
      <c r="C5">
        <v>9</v>
      </c>
    </row>
    <row r="6" spans="1:3" x14ac:dyDescent="0.35">
      <c r="A6" t="s">
        <v>98</v>
      </c>
      <c r="C6">
        <v>13</v>
      </c>
    </row>
    <row r="7" spans="1:3" x14ac:dyDescent="0.35">
      <c r="A7" t="s">
        <v>100</v>
      </c>
      <c r="C7">
        <v>12</v>
      </c>
    </row>
    <row r="8" spans="1:3" x14ac:dyDescent="0.35">
      <c r="A8" t="s">
        <v>64</v>
      </c>
      <c r="C8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37B3-024C-4A0B-8F0E-689F18375391}">
  <dimension ref="A1:R53"/>
  <sheetViews>
    <sheetView workbookViewId="0">
      <selection activeCell="F33" sqref="F33"/>
    </sheetView>
  </sheetViews>
  <sheetFormatPr defaultRowHeight="14.5" x14ac:dyDescent="0.35"/>
  <cols>
    <col min="1" max="1" width="18.08984375" bestFit="1" customWidth="1"/>
    <col min="2" max="2" width="12" bestFit="1" customWidth="1"/>
    <col min="3" max="3" width="11.81640625" bestFit="1" customWidth="1"/>
  </cols>
  <sheetData>
    <row r="1" spans="1:3" x14ac:dyDescent="0.35">
      <c r="A1" s="1" t="s">
        <v>0</v>
      </c>
      <c r="B1" s="1" t="s">
        <v>72</v>
      </c>
      <c r="C1" s="1" t="s">
        <v>81</v>
      </c>
    </row>
    <row r="2" spans="1:3" x14ac:dyDescent="0.35">
      <c r="A2" t="s">
        <v>63</v>
      </c>
      <c r="B2" s="5">
        <v>7.5976838553777418E-2</v>
      </c>
      <c r="C2" s="12">
        <v>6.924105229562759</v>
      </c>
    </row>
    <row r="3" spans="1:3" x14ac:dyDescent="0.35">
      <c r="A3" t="s">
        <v>59</v>
      </c>
      <c r="B3" s="5">
        <v>5.6652724095939008E-2</v>
      </c>
      <c r="C3" s="12">
        <v>7.4134378143696722</v>
      </c>
    </row>
    <row r="4" spans="1:3" x14ac:dyDescent="0.35">
      <c r="A4" t="s">
        <v>38</v>
      </c>
      <c r="B4" s="5">
        <v>5.4681217690982192E-2</v>
      </c>
      <c r="C4" s="12">
        <v>6.2218265364732916</v>
      </c>
    </row>
    <row r="5" spans="1:3" x14ac:dyDescent="0.35">
      <c r="A5" t="s">
        <v>20</v>
      </c>
      <c r="B5" s="5">
        <v>5.4080629301868237E-2</v>
      </c>
      <c r="C5" s="12">
        <v>8.7541789577187803</v>
      </c>
    </row>
    <row r="6" spans="1:3" x14ac:dyDescent="0.35">
      <c r="A6" t="s">
        <v>49</v>
      </c>
      <c r="B6" s="5">
        <v>5.3339754534973659E-2</v>
      </c>
      <c r="C6" s="12">
        <v>6.4642382849554165</v>
      </c>
    </row>
    <row r="7" spans="1:3" x14ac:dyDescent="0.35">
      <c r="A7" t="s">
        <v>23</v>
      </c>
      <c r="B7" s="5">
        <v>5.0112098314373493E-2</v>
      </c>
      <c r="C7" s="12">
        <v>7.862824877522212</v>
      </c>
    </row>
    <row r="8" spans="1:3" x14ac:dyDescent="0.35">
      <c r="A8" t="s">
        <v>54</v>
      </c>
      <c r="B8" s="5">
        <v>4.8192931083710151E-2</v>
      </c>
      <c r="C8" s="12">
        <v>6.4655352151019567</v>
      </c>
    </row>
    <row r="9" spans="1:3" x14ac:dyDescent="0.35">
      <c r="A9" t="s">
        <v>39</v>
      </c>
      <c r="B9" s="5">
        <v>4.7804933242815116E-2</v>
      </c>
      <c r="C9" s="12">
        <v>6.4015048653541529</v>
      </c>
    </row>
    <row r="10" spans="1:3" x14ac:dyDescent="0.35">
      <c r="A10" t="s">
        <v>58</v>
      </c>
      <c r="B10" s="5">
        <v>4.6818312212078772E-2</v>
      </c>
      <c r="C10" s="12">
        <v>6.3591653870167564</v>
      </c>
    </row>
    <row r="11" spans="1:3" x14ac:dyDescent="0.35">
      <c r="A11" t="s">
        <v>16</v>
      </c>
      <c r="B11" s="5">
        <v>4.6544491484467126E-2</v>
      </c>
      <c r="C11" s="12">
        <v>5.6851282646097934</v>
      </c>
    </row>
    <row r="12" spans="1:3" x14ac:dyDescent="0.35">
      <c r="A12" t="s">
        <v>43</v>
      </c>
      <c r="B12" s="5">
        <v>4.5482664152944295E-2</v>
      </c>
      <c r="C12" s="12">
        <v>5.9471823725218727</v>
      </c>
    </row>
    <row r="13" spans="1:3" x14ac:dyDescent="0.35">
      <c r="A13" t="s">
        <v>41</v>
      </c>
      <c r="B13" s="5">
        <v>4.4529697883126669E-2</v>
      </c>
      <c r="C13" s="12">
        <v>6.8183873398643557</v>
      </c>
    </row>
    <row r="14" spans="1:3" x14ac:dyDescent="0.35">
      <c r="A14" t="s">
        <v>48</v>
      </c>
      <c r="B14" s="5">
        <v>4.430586951438148E-2</v>
      </c>
      <c r="C14" s="12">
        <v>5.647034063449996</v>
      </c>
    </row>
    <row r="15" spans="1:3" x14ac:dyDescent="0.35">
      <c r="A15" t="s">
        <v>45</v>
      </c>
      <c r="B15" s="5">
        <v>4.4159515598684737E-2</v>
      </c>
      <c r="C15" s="12">
        <v>6.3972351431550241</v>
      </c>
    </row>
    <row r="16" spans="1:3" x14ac:dyDescent="0.35">
      <c r="A16" t="s">
        <v>50</v>
      </c>
      <c r="B16" s="5">
        <v>4.4120670080107276E-2</v>
      </c>
      <c r="C16" s="12">
        <v>5.7169079161672478</v>
      </c>
    </row>
    <row r="17" spans="1:18" x14ac:dyDescent="0.35">
      <c r="A17" t="s">
        <v>27</v>
      </c>
      <c r="B17" s="5">
        <v>4.3962922118565763E-2</v>
      </c>
      <c r="C17" s="12">
        <v>5.7471610384191232</v>
      </c>
    </row>
    <row r="18" spans="1:18" x14ac:dyDescent="0.35">
      <c r="A18" t="s">
        <v>53</v>
      </c>
      <c r="B18" s="5">
        <v>4.3792219892848823E-2</v>
      </c>
      <c r="C18" s="12">
        <v>6.1101793617516886</v>
      </c>
    </row>
    <row r="19" spans="1:18" x14ac:dyDescent="0.35">
      <c r="A19" t="s">
        <v>46</v>
      </c>
      <c r="B19" s="5">
        <v>4.372408594044478E-2</v>
      </c>
      <c r="C19" s="12">
        <v>6.0652091971353181</v>
      </c>
    </row>
    <row r="20" spans="1:18" x14ac:dyDescent="0.35">
      <c r="A20" t="s">
        <v>44</v>
      </c>
      <c r="B20" s="5">
        <v>4.328595398453626E-2</v>
      </c>
      <c r="C20" s="12">
        <v>6.7752512271051275</v>
      </c>
    </row>
    <row r="21" spans="1:18" x14ac:dyDescent="0.35">
      <c r="A21" t="s">
        <v>13</v>
      </c>
      <c r="B21" s="5">
        <v>4.3083900226757371E-2</v>
      </c>
      <c r="C21" s="12">
        <v>6.7006802721088432</v>
      </c>
    </row>
    <row r="22" spans="1:18" x14ac:dyDescent="0.35">
      <c r="A22" t="s">
        <v>32</v>
      </c>
      <c r="B22" s="5">
        <v>4.2841816664679941E-2</v>
      </c>
      <c r="C22" s="12">
        <v>7.1131243294790796</v>
      </c>
    </row>
    <row r="23" spans="1:18" x14ac:dyDescent="0.35">
      <c r="A23" t="s">
        <v>57</v>
      </c>
      <c r="B23" s="5">
        <v>4.2724347515194855E-2</v>
      </c>
      <c r="C23" s="12">
        <v>7.1172685019663922</v>
      </c>
    </row>
    <row r="24" spans="1:18" x14ac:dyDescent="0.35">
      <c r="A24" t="s">
        <v>61</v>
      </c>
      <c r="B24" s="5">
        <v>4.2664303955803409E-2</v>
      </c>
      <c r="C24" s="12">
        <v>6.1824256006671181</v>
      </c>
    </row>
    <row r="25" spans="1:18" x14ac:dyDescent="0.35">
      <c r="A25" t="s">
        <v>29</v>
      </c>
      <c r="B25" s="5">
        <v>4.2445763206537604E-2</v>
      </c>
      <c r="C25" s="12">
        <v>6.6651133378733336</v>
      </c>
      <c r="R25" t="s">
        <v>92</v>
      </c>
    </row>
    <row r="26" spans="1:18" x14ac:dyDescent="0.35">
      <c r="A26" t="s">
        <v>37</v>
      </c>
      <c r="B26" s="5">
        <v>4.233972249934552E-2</v>
      </c>
      <c r="C26" s="12">
        <v>5.7652282198778773</v>
      </c>
    </row>
    <row r="27" spans="1:18" x14ac:dyDescent="0.35">
      <c r="A27" t="s">
        <v>26</v>
      </c>
      <c r="B27" s="5">
        <v>4.2264548911827682E-2</v>
      </c>
      <c r="C27" s="12">
        <v>5.9544597488095619</v>
      </c>
    </row>
    <row r="28" spans="1:18" x14ac:dyDescent="0.35">
      <c r="A28" t="s">
        <v>14</v>
      </c>
      <c r="B28" s="5">
        <v>4.20897329197246E-2</v>
      </c>
      <c r="C28" s="12">
        <v>5.8389574033441782</v>
      </c>
    </row>
    <row r="29" spans="1:18" x14ac:dyDescent="0.35">
      <c r="A29" t="s">
        <v>36</v>
      </c>
      <c r="B29" s="5">
        <v>4.182363833727093E-2</v>
      </c>
      <c r="C29" s="12">
        <v>6.5483259902517936</v>
      </c>
    </row>
    <row r="30" spans="1:18" x14ac:dyDescent="0.35">
      <c r="A30" t="s">
        <v>60</v>
      </c>
      <c r="B30" s="5">
        <v>4.17920815003473E-2</v>
      </c>
      <c r="C30" s="12">
        <v>6.0535309099328547</v>
      </c>
    </row>
    <row r="31" spans="1:18" x14ac:dyDescent="0.35">
      <c r="A31" t="s">
        <v>24</v>
      </c>
      <c r="B31" s="5">
        <v>4.1625712600747003E-2</v>
      </c>
      <c r="C31" s="12">
        <v>5.8106447808138393</v>
      </c>
    </row>
    <row r="32" spans="1:18" x14ac:dyDescent="0.35">
      <c r="A32" t="s">
        <v>42</v>
      </c>
      <c r="B32" s="5">
        <v>4.1366931500368728E-2</v>
      </c>
      <c r="C32" s="12">
        <v>6.1713534347215075</v>
      </c>
    </row>
    <row r="33" spans="1:3" x14ac:dyDescent="0.35">
      <c r="A33" t="s">
        <v>31</v>
      </c>
      <c r="B33" s="5">
        <v>4.0798226164079826E-2</v>
      </c>
      <c r="C33" s="12">
        <v>7.4372949002217297</v>
      </c>
    </row>
    <row r="34" spans="1:3" x14ac:dyDescent="0.35">
      <c r="A34" t="s">
        <v>40</v>
      </c>
      <c r="B34" s="5">
        <v>4.014382990550306E-2</v>
      </c>
      <c r="C34" s="12">
        <v>6.1920685102834909</v>
      </c>
    </row>
    <row r="35" spans="1:3" x14ac:dyDescent="0.35">
      <c r="A35" t="s">
        <v>34</v>
      </c>
      <c r="B35" s="5">
        <v>4.0137947725072606E-2</v>
      </c>
      <c r="C35" s="12">
        <v>6.136540012907389</v>
      </c>
    </row>
    <row r="36" spans="1:3" x14ac:dyDescent="0.35">
      <c r="A36" t="s">
        <v>18</v>
      </c>
      <c r="B36" s="5">
        <v>3.9847616928980589E-2</v>
      </c>
      <c r="C36" s="12">
        <v>6.1300956565263336</v>
      </c>
    </row>
    <row r="37" spans="1:3" x14ac:dyDescent="0.35">
      <c r="A37" t="s">
        <v>62</v>
      </c>
      <c r="B37" s="5">
        <v>3.9759036144578312E-2</v>
      </c>
      <c r="C37" s="12">
        <v>5.5614457831325304</v>
      </c>
    </row>
    <row r="38" spans="1:3" x14ac:dyDescent="0.35">
      <c r="A38" t="s">
        <v>30</v>
      </c>
      <c r="B38" s="5">
        <v>3.9637502270954229E-2</v>
      </c>
      <c r="C38" s="12">
        <v>5.9189296057623464</v>
      </c>
    </row>
    <row r="39" spans="1:3" x14ac:dyDescent="0.35">
      <c r="A39" t="s">
        <v>17</v>
      </c>
      <c r="B39" s="5">
        <v>3.9604470309522584E-2</v>
      </c>
      <c r="C39" s="12">
        <v>5.5674924035638877</v>
      </c>
    </row>
    <row r="40" spans="1:3" x14ac:dyDescent="0.35">
      <c r="A40" t="s">
        <v>19</v>
      </c>
      <c r="B40" s="5">
        <v>3.9070265310803577E-2</v>
      </c>
      <c r="C40" s="12">
        <v>7.6350638428014372</v>
      </c>
    </row>
    <row r="41" spans="1:3" x14ac:dyDescent="0.35">
      <c r="A41" t="s">
        <v>25</v>
      </c>
      <c r="B41" s="5">
        <v>3.8725290375178661E-2</v>
      </c>
      <c r="C41" s="12">
        <v>6.0444579749330503</v>
      </c>
    </row>
    <row r="42" spans="1:3" x14ac:dyDescent="0.35">
      <c r="A42" t="s">
        <v>28</v>
      </c>
      <c r="B42" s="5">
        <v>3.7796377847122982E-2</v>
      </c>
      <c r="C42" s="12">
        <v>5.2660328385196422</v>
      </c>
    </row>
    <row r="43" spans="1:3" x14ac:dyDescent="0.35">
      <c r="A43" t="s">
        <v>52</v>
      </c>
      <c r="B43" s="5">
        <v>3.7698731711007918E-2</v>
      </c>
      <c r="C43" s="12">
        <v>6.4048310366678329</v>
      </c>
    </row>
    <row r="44" spans="1:3" x14ac:dyDescent="0.35">
      <c r="A44" t="s">
        <v>47</v>
      </c>
      <c r="B44" s="5">
        <v>3.737103212121004E-2</v>
      </c>
      <c r="C44" s="12">
        <v>5.6776430464782877</v>
      </c>
    </row>
    <row r="45" spans="1:3" x14ac:dyDescent="0.35">
      <c r="A45" t="s">
        <v>12</v>
      </c>
      <c r="B45" s="5">
        <v>3.7170988055148665E-2</v>
      </c>
      <c r="C45" s="12">
        <v>6.6037812778423799</v>
      </c>
    </row>
    <row r="46" spans="1:3" x14ac:dyDescent="0.35">
      <c r="A46" t="s">
        <v>35</v>
      </c>
      <c r="B46" s="5">
        <v>3.6339845274442735E-2</v>
      </c>
      <c r="C46" s="12">
        <v>5.8139620302564223</v>
      </c>
    </row>
    <row r="47" spans="1:3" x14ac:dyDescent="0.35">
      <c r="A47" t="s">
        <v>22</v>
      </c>
      <c r="B47" s="5">
        <v>3.5994729653421625E-2</v>
      </c>
      <c r="C47" s="12">
        <v>6.7146483781135826</v>
      </c>
    </row>
    <row r="48" spans="1:3" x14ac:dyDescent="0.35">
      <c r="A48" t="s">
        <v>15</v>
      </c>
      <c r="B48" s="5">
        <v>3.4325768378373735E-2</v>
      </c>
      <c r="C48" s="12">
        <v>5.7532427371278372</v>
      </c>
    </row>
    <row r="49" spans="1:3" x14ac:dyDescent="0.35">
      <c r="A49" t="s">
        <v>55</v>
      </c>
      <c r="B49" s="5">
        <v>3.2148263224984069E-2</v>
      </c>
      <c r="C49" s="12">
        <v>5.8466877788400256</v>
      </c>
    </row>
    <row r="50" spans="1:3" x14ac:dyDescent="0.35">
      <c r="A50" t="s">
        <v>33</v>
      </c>
      <c r="B50" s="5">
        <v>2.9089818563502776E-2</v>
      </c>
      <c r="C50" s="12">
        <v>6.5428799920027991</v>
      </c>
    </row>
    <row r="51" spans="1:3" x14ac:dyDescent="0.35">
      <c r="A51" t="s">
        <v>56</v>
      </c>
      <c r="B51" s="5">
        <v>2.7129269347168181E-2</v>
      </c>
      <c r="C51" s="12">
        <v>4.5126459143968871</v>
      </c>
    </row>
    <row r="52" spans="1:3" x14ac:dyDescent="0.35">
      <c r="A52" t="s">
        <v>21</v>
      </c>
      <c r="B52" s="5">
        <v>2.631826683457876E-2</v>
      </c>
      <c r="C52" s="12">
        <v>5.91175023490523</v>
      </c>
    </row>
    <row r="53" spans="1:3" x14ac:dyDescent="0.35">
      <c r="A53" t="s">
        <v>51</v>
      </c>
      <c r="B53" s="5">
        <v>1.6032219339348643E-2</v>
      </c>
      <c r="C53" s="12">
        <v>5.8968361538163654</v>
      </c>
    </row>
  </sheetData>
  <sortState xmlns:xlrd2="http://schemas.microsoft.com/office/spreadsheetml/2017/richdata2" ref="A2:C53">
    <sortCondition descending="1" ref="B2:B53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7B42-D96B-42E4-B2A1-B42A872CF2A4}">
  <dimension ref="A3:S56"/>
  <sheetViews>
    <sheetView workbookViewId="0">
      <selection activeCell="U22" sqref="U22"/>
    </sheetView>
  </sheetViews>
  <sheetFormatPr defaultRowHeight="14.5" x14ac:dyDescent="0.35"/>
  <cols>
    <col min="1" max="1" width="17" bestFit="1" customWidth="1"/>
    <col min="2" max="2" width="14.453125" style="13" bestFit="1" customWidth="1"/>
    <col min="4" max="4" width="13.6328125" bestFit="1" customWidth="1"/>
    <col min="5" max="5" width="14.453125" bestFit="1" customWidth="1"/>
  </cols>
  <sheetData>
    <row r="3" spans="1:19" x14ac:dyDescent="0.35">
      <c r="A3" s="2" t="s">
        <v>65</v>
      </c>
      <c r="B3" s="13" t="s">
        <v>76</v>
      </c>
      <c r="D3" s="2" t="s">
        <v>65</v>
      </c>
      <c r="E3" s="13" t="s">
        <v>76</v>
      </c>
    </row>
    <row r="4" spans="1:19" ht="18.5" x14ac:dyDescent="0.45">
      <c r="A4" s="3" t="s">
        <v>33</v>
      </c>
      <c r="B4" s="13">
        <v>0.14738728644886842</v>
      </c>
      <c r="D4" s="3" t="s">
        <v>41</v>
      </c>
      <c r="E4" s="13">
        <v>0.1062592193499116</v>
      </c>
      <c r="G4" s="7"/>
    </row>
    <row r="5" spans="1:19" x14ac:dyDescent="0.35">
      <c r="A5" s="3" t="s">
        <v>29</v>
      </c>
      <c r="B5" s="13">
        <v>0.14756820671547063</v>
      </c>
      <c r="D5" s="3" t="s">
        <v>61</v>
      </c>
      <c r="E5" s="13">
        <v>0.10434661422918122</v>
      </c>
    </row>
    <row r="6" spans="1:19" ht="18.5" x14ac:dyDescent="0.35">
      <c r="A6" s="3" t="s">
        <v>52</v>
      </c>
      <c r="B6" s="13">
        <v>0.14939201171536076</v>
      </c>
      <c r="D6" s="3" t="s">
        <v>38</v>
      </c>
      <c r="E6" s="13">
        <v>0.10244809811308858</v>
      </c>
      <c r="G6" s="8"/>
    </row>
    <row r="7" spans="1:19" x14ac:dyDescent="0.35">
      <c r="A7" s="3" t="s">
        <v>50</v>
      </c>
      <c r="B7" s="13">
        <v>0.1504418051984</v>
      </c>
      <c r="D7" s="3" t="s">
        <v>56</v>
      </c>
      <c r="E7" s="13">
        <v>0.10162515569690674</v>
      </c>
      <c r="G7" s="6"/>
    </row>
    <row r="8" spans="1:19" ht="16" x14ac:dyDescent="0.4">
      <c r="A8" s="3" t="s">
        <v>12</v>
      </c>
      <c r="B8" s="13">
        <v>0.15078018476897079</v>
      </c>
      <c r="D8" s="3" t="s">
        <v>35</v>
      </c>
      <c r="E8" s="13">
        <v>0.10139900797012615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ht="16" x14ac:dyDescent="0.4">
      <c r="A9" s="3" t="s">
        <v>47</v>
      </c>
      <c r="B9" s="13">
        <v>0.15124093678850159</v>
      </c>
      <c r="D9" s="3" t="s">
        <v>24</v>
      </c>
      <c r="E9" s="13">
        <v>9.6381150098549861E-2</v>
      </c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16" x14ac:dyDescent="0.4">
      <c r="A10" s="3" t="s">
        <v>37</v>
      </c>
      <c r="B10" s="13">
        <v>0.15188293508585188</v>
      </c>
      <c r="D10" s="3" t="s">
        <v>57</v>
      </c>
      <c r="E10" s="13">
        <v>9.1649410177063212E-2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16" x14ac:dyDescent="0.4">
      <c r="A11" s="3" t="s">
        <v>15</v>
      </c>
      <c r="B11" s="13">
        <v>0.15436260611771938</v>
      </c>
      <c r="D11" s="3" t="s">
        <v>31</v>
      </c>
      <c r="E11" s="13">
        <v>8.9568050424283716E-2</v>
      </c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16" x14ac:dyDescent="0.4">
      <c r="A12" s="3" t="s">
        <v>48</v>
      </c>
      <c r="B12" s="13">
        <v>0.16028528807118844</v>
      </c>
      <c r="D12" s="3" t="s">
        <v>53</v>
      </c>
      <c r="E12" s="13">
        <v>5.3948022438400911E-2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ht="16" x14ac:dyDescent="0.4">
      <c r="A13" s="3" t="s">
        <v>20</v>
      </c>
      <c r="B13" s="13">
        <v>0.16196758386732002</v>
      </c>
      <c r="D13" s="3" t="s">
        <v>46</v>
      </c>
      <c r="E13" s="13">
        <v>4.7820903430918001E-2</v>
      </c>
      <c r="G13" s="11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ht="16" x14ac:dyDescent="0.4">
      <c r="A14" s="3" t="s">
        <v>64</v>
      </c>
      <c r="B14" s="13">
        <v>0.15093630275220285</v>
      </c>
      <c r="D14" s="3" t="s">
        <v>64</v>
      </c>
      <c r="E14" s="13">
        <v>9.8714837218101217E-2</v>
      </c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x14ac:dyDescent="0.35">
      <c r="B15"/>
    </row>
    <row r="16" spans="1:19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DBA2-FF84-4B6E-BD1F-DA7CC222E346}">
  <dimension ref="A1:I54"/>
  <sheetViews>
    <sheetView workbookViewId="0">
      <selection activeCell="B2" sqref="B2"/>
    </sheetView>
  </sheetViews>
  <sheetFormatPr defaultRowHeight="14.5" x14ac:dyDescent="0.35"/>
  <cols>
    <col min="1" max="1" width="17" bestFit="1" customWidth="1"/>
    <col min="2" max="2" width="13.36328125" bestFit="1" customWidth="1"/>
  </cols>
  <sheetData>
    <row r="1" spans="1:2" s="1" customFormat="1" x14ac:dyDescent="0.35">
      <c r="A1" s="1" t="s">
        <v>65</v>
      </c>
      <c r="B1" s="1" t="s">
        <v>75</v>
      </c>
    </row>
    <row r="2" spans="1:2" x14ac:dyDescent="0.35">
      <c r="A2" s="3" t="s">
        <v>56</v>
      </c>
      <c r="B2" s="13">
        <v>0.22216816670720832</v>
      </c>
    </row>
    <row r="3" spans="1:2" x14ac:dyDescent="0.35">
      <c r="A3" s="3" t="s">
        <v>28</v>
      </c>
      <c r="B3" s="13">
        <v>0.18989848081215352</v>
      </c>
    </row>
    <row r="4" spans="1:2" x14ac:dyDescent="0.35">
      <c r="A4" s="3" t="s">
        <v>62</v>
      </c>
      <c r="B4" s="13">
        <v>0.18011607480376243</v>
      </c>
    </row>
    <row r="5" spans="1:2" x14ac:dyDescent="0.35">
      <c r="A5" s="3" t="s">
        <v>17</v>
      </c>
      <c r="B5" s="13">
        <v>0.17982653318567091</v>
      </c>
    </row>
    <row r="6" spans="1:2" x14ac:dyDescent="0.35">
      <c r="A6" s="3" t="s">
        <v>48</v>
      </c>
      <c r="B6" s="13">
        <v>0.17706093723264169</v>
      </c>
    </row>
    <row r="7" spans="1:2" x14ac:dyDescent="0.35">
      <c r="A7" s="3" t="s">
        <v>47</v>
      </c>
      <c r="B7" s="13">
        <v>0.17576965804811978</v>
      </c>
    </row>
    <row r="8" spans="1:2" x14ac:dyDescent="0.35">
      <c r="A8" s="3" t="s">
        <v>16</v>
      </c>
      <c r="B8" s="13">
        <v>0.17539654871884261</v>
      </c>
    </row>
    <row r="9" spans="1:2" x14ac:dyDescent="0.35">
      <c r="A9" s="3" t="s">
        <v>50</v>
      </c>
      <c r="B9" s="13">
        <v>0.1751137853891846</v>
      </c>
    </row>
    <row r="10" spans="1:2" x14ac:dyDescent="0.35">
      <c r="A10" s="3" t="s">
        <v>27</v>
      </c>
      <c r="B10" s="13">
        <v>0.17384958791208791</v>
      </c>
    </row>
    <row r="11" spans="1:2" x14ac:dyDescent="0.35">
      <c r="A11" s="3" t="s">
        <v>37</v>
      </c>
      <c r="B11" s="13">
        <v>0.17360201737516742</v>
      </c>
    </row>
    <row r="12" spans="1:2" x14ac:dyDescent="0.35">
      <c r="A12" s="3" t="s">
        <v>15</v>
      </c>
      <c r="B12" s="13">
        <v>0.17350600256936546</v>
      </c>
    </row>
    <row r="13" spans="1:2" x14ac:dyDescent="0.35">
      <c r="A13" s="3" t="s">
        <v>24</v>
      </c>
      <c r="B13" s="13">
        <v>0.17247515536452487</v>
      </c>
    </row>
    <row r="14" spans="1:2" x14ac:dyDescent="0.35">
      <c r="A14" s="3" t="s">
        <v>35</v>
      </c>
      <c r="B14" s="13">
        <v>0.17233182790587118</v>
      </c>
    </row>
    <row r="15" spans="1:2" x14ac:dyDescent="0.35">
      <c r="A15" s="3" t="s">
        <v>14</v>
      </c>
      <c r="B15" s="13">
        <v>0.17093417719299783</v>
      </c>
    </row>
    <row r="16" spans="1:2" x14ac:dyDescent="0.35">
      <c r="A16" s="3" t="s">
        <v>55</v>
      </c>
      <c r="B16" s="13">
        <v>0.17067540845557552</v>
      </c>
    </row>
    <row r="17" spans="1:9" x14ac:dyDescent="0.35">
      <c r="A17" s="3" t="s">
        <v>51</v>
      </c>
      <c r="B17" s="13">
        <v>0.16997495978641197</v>
      </c>
    </row>
    <row r="18" spans="1:9" x14ac:dyDescent="0.35">
      <c r="A18" s="3" t="s">
        <v>21</v>
      </c>
      <c r="B18" s="13">
        <v>0.16953389896717136</v>
      </c>
    </row>
    <row r="19" spans="1:9" x14ac:dyDescent="0.35">
      <c r="A19" s="3" t="s">
        <v>30</v>
      </c>
      <c r="B19" s="13">
        <v>0.16911819299273204</v>
      </c>
    </row>
    <row r="20" spans="1:9" x14ac:dyDescent="0.35">
      <c r="A20" s="3" t="s">
        <v>43</v>
      </c>
      <c r="B20" s="13">
        <v>0.16841848950935434</v>
      </c>
    </row>
    <row r="21" spans="1:9" x14ac:dyDescent="0.35">
      <c r="A21" s="3" t="s">
        <v>26</v>
      </c>
      <c r="B21" s="13">
        <v>0.16765240068923765</v>
      </c>
    </row>
    <row r="22" spans="1:9" x14ac:dyDescent="0.35">
      <c r="A22" s="3" t="s">
        <v>60</v>
      </c>
      <c r="B22" s="13">
        <v>0.16549573132404544</v>
      </c>
    </row>
    <row r="23" spans="1:9" x14ac:dyDescent="0.35">
      <c r="A23" s="3" t="s">
        <v>25</v>
      </c>
      <c r="B23" s="13">
        <v>0.16534267268914826</v>
      </c>
    </row>
    <row r="24" spans="1:9" x14ac:dyDescent="0.35">
      <c r="A24" s="3" t="s">
        <v>46</v>
      </c>
      <c r="B24" s="13">
        <v>0.16419976073749148</v>
      </c>
    </row>
    <row r="25" spans="1:9" x14ac:dyDescent="0.35">
      <c r="A25" s="3" t="s">
        <v>53</v>
      </c>
      <c r="B25" s="13">
        <v>0.16321271341136048</v>
      </c>
    </row>
    <row r="26" spans="1:9" x14ac:dyDescent="0.35">
      <c r="A26" s="3" t="s">
        <v>18</v>
      </c>
      <c r="B26" s="13">
        <v>0.16282741120946881</v>
      </c>
    </row>
    <row r="27" spans="1:9" x14ac:dyDescent="0.35">
      <c r="A27" s="3" t="s">
        <v>34</v>
      </c>
      <c r="B27" s="13">
        <v>0.16267353159499029</v>
      </c>
    </row>
    <row r="28" spans="1:9" x14ac:dyDescent="0.35">
      <c r="A28" s="3" t="s">
        <v>42</v>
      </c>
      <c r="B28" s="13">
        <v>0.16224719418167455</v>
      </c>
    </row>
    <row r="29" spans="1:9" x14ac:dyDescent="0.35">
      <c r="A29" s="3" t="s">
        <v>61</v>
      </c>
      <c r="B29" s="13">
        <v>0.16183545627690377</v>
      </c>
    </row>
    <row r="30" spans="1:9" x14ac:dyDescent="0.35">
      <c r="A30" s="3" t="s">
        <v>40</v>
      </c>
      <c r="B30" s="13">
        <v>0.16150257207799976</v>
      </c>
      <c r="H30" t="s">
        <v>108</v>
      </c>
      <c r="I30" t="s">
        <v>109</v>
      </c>
    </row>
    <row r="31" spans="1:9" x14ac:dyDescent="0.35">
      <c r="A31" s="3" t="s">
        <v>38</v>
      </c>
      <c r="B31" s="13">
        <v>0.16046288270983158</v>
      </c>
      <c r="H31" t="s">
        <v>110</v>
      </c>
      <c r="I31" t="s">
        <v>111</v>
      </c>
    </row>
    <row r="32" spans="1:9" x14ac:dyDescent="0.35">
      <c r="A32" s="3" t="s">
        <v>58</v>
      </c>
      <c r="B32" s="13">
        <v>0.15702584560539828</v>
      </c>
    </row>
    <row r="33" spans="1:2" x14ac:dyDescent="0.35">
      <c r="A33" s="3" t="s">
        <v>52</v>
      </c>
      <c r="B33" s="13">
        <v>0.15630451468843767</v>
      </c>
    </row>
    <row r="34" spans="1:2" x14ac:dyDescent="0.35">
      <c r="A34" s="3" t="s">
        <v>45</v>
      </c>
      <c r="B34" s="13">
        <v>0.15627277291056016</v>
      </c>
    </row>
    <row r="35" spans="1:2" x14ac:dyDescent="0.35">
      <c r="A35" s="3" t="s">
        <v>39</v>
      </c>
      <c r="B35" s="13">
        <v>0.15590779167749361</v>
      </c>
    </row>
    <row r="36" spans="1:2" x14ac:dyDescent="0.35">
      <c r="A36" s="3" t="s">
        <v>49</v>
      </c>
      <c r="B36" s="13">
        <v>0.1549992568528781</v>
      </c>
    </row>
    <row r="37" spans="1:2" x14ac:dyDescent="0.35">
      <c r="A37" s="3" t="s">
        <v>54</v>
      </c>
      <c r="B37" s="13">
        <v>0.15453769237825746</v>
      </c>
    </row>
    <row r="38" spans="1:2" x14ac:dyDescent="0.35">
      <c r="A38" s="3" t="s">
        <v>33</v>
      </c>
      <c r="B38" s="13">
        <v>0.15296777613031781</v>
      </c>
    </row>
    <row r="39" spans="1:2" x14ac:dyDescent="0.35">
      <c r="A39" s="3" t="s">
        <v>36</v>
      </c>
      <c r="B39" s="13">
        <v>0.15246269604867513</v>
      </c>
    </row>
    <row r="40" spans="1:2" x14ac:dyDescent="0.35">
      <c r="A40" s="3" t="s">
        <v>12</v>
      </c>
      <c r="B40" s="13">
        <v>0.15131543551944907</v>
      </c>
    </row>
    <row r="41" spans="1:2" x14ac:dyDescent="0.35">
      <c r="A41" s="3" t="s">
        <v>29</v>
      </c>
      <c r="B41" s="13">
        <v>0.14975186854069153</v>
      </c>
    </row>
    <row r="42" spans="1:2" x14ac:dyDescent="0.35">
      <c r="A42" s="3" t="s">
        <v>13</v>
      </c>
      <c r="B42" s="13">
        <v>0.14966992436323465</v>
      </c>
    </row>
    <row r="43" spans="1:2" x14ac:dyDescent="0.35">
      <c r="A43" s="3" t="s">
        <v>22</v>
      </c>
      <c r="B43" s="13">
        <v>0.14923475362881369</v>
      </c>
    </row>
    <row r="44" spans="1:2" x14ac:dyDescent="0.35">
      <c r="A44" s="3" t="s">
        <v>44</v>
      </c>
      <c r="B44" s="13">
        <v>0.14737930263746088</v>
      </c>
    </row>
    <row r="45" spans="1:2" x14ac:dyDescent="0.35">
      <c r="A45" s="3" t="s">
        <v>41</v>
      </c>
      <c r="B45" s="13">
        <v>0.14694159791784717</v>
      </c>
    </row>
    <row r="46" spans="1:2" x14ac:dyDescent="0.35">
      <c r="A46" s="3" t="s">
        <v>63</v>
      </c>
      <c r="B46" s="13">
        <v>0.14401904714334474</v>
      </c>
    </row>
    <row r="47" spans="1:2" x14ac:dyDescent="0.35">
      <c r="A47" s="3" t="s">
        <v>32</v>
      </c>
      <c r="B47" s="13">
        <v>0.14056730446458543</v>
      </c>
    </row>
    <row r="48" spans="1:2" x14ac:dyDescent="0.35">
      <c r="A48" s="3" t="s">
        <v>57</v>
      </c>
      <c r="B48" s="13">
        <v>0.14033421132173238</v>
      </c>
    </row>
    <row r="49" spans="1:2" x14ac:dyDescent="0.35">
      <c r="A49" s="3" t="s">
        <v>59</v>
      </c>
      <c r="B49" s="13">
        <v>0.13500873585937914</v>
      </c>
    </row>
    <row r="50" spans="1:2" x14ac:dyDescent="0.35">
      <c r="A50" s="3" t="s">
        <v>31</v>
      </c>
      <c r="B50" s="13">
        <v>0.13440709669470549</v>
      </c>
    </row>
    <row r="51" spans="1:2" x14ac:dyDescent="0.35">
      <c r="A51" s="3" t="s">
        <v>19</v>
      </c>
      <c r="B51" s="13">
        <v>0.13096073040088879</v>
      </c>
    </row>
    <row r="52" spans="1:2" x14ac:dyDescent="0.35">
      <c r="A52" s="3" t="s">
        <v>23</v>
      </c>
      <c r="B52" s="13">
        <v>0.12706683395801202</v>
      </c>
    </row>
    <row r="53" spans="1:2" x14ac:dyDescent="0.35">
      <c r="A53" s="3" t="s">
        <v>20</v>
      </c>
      <c r="B53" s="13">
        <v>0.1140877027930202</v>
      </c>
    </row>
    <row r="54" spans="1:2" x14ac:dyDescent="0.35">
      <c r="A54" s="3" t="s">
        <v>64</v>
      </c>
      <c r="B54">
        <v>0.15860203702418377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D956-6A0C-4CAA-A04B-7570061D934E}">
  <dimension ref="A2:H56"/>
  <sheetViews>
    <sheetView topLeftCell="A22" workbookViewId="0">
      <selection activeCell="A56" sqref="A56"/>
    </sheetView>
  </sheetViews>
  <sheetFormatPr defaultRowHeight="14.5" x14ac:dyDescent="0.35"/>
  <cols>
    <col min="1" max="1" width="17" bestFit="1" customWidth="1"/>
    <col min="2" max="2" width="49" bestFit="1" customWidth="1"/>
    <col min="3" max="3" width="50.1796875" bestFit="1" customWidth="1"/>
    <col min="4" max="4" width="14.26953125" style="4" bestFit="1" customWidth="1"/>
    <col min="7" max="7" width="21.36328125" bestFit="1" customWidth="1"/>
    <col min="8" max="8" width="14.36328125" bestFit="1" customWidth="1"/>
  </cols>
  <sheetData>
    <row r="2" spans="1:8" x14ac:dyDescent="0.35">
      <c r="G2" t="s">
        <v>126</v>
      </c>
    </row>
    <row r="3" spans="1:8" x14ac:dyDescent="0.35">
      <c r="A3" s="2" t="s">
        <v>65</v>
      </c>
      <c r="B3" t="s">
        <v>73</v>
      </c>
      <c r="C3" t="s">
        <v>74</v>
      </c>
      <c r="D3" s="4" t="s">
        <v>75</v>
      </c>
      <c r="G3" t="s">
        <v>127</v>
      </c>
    </row>
    <row r="4" spans="1:8" x14ac:dyDescent="0.35">
      <c r="A4" s="3" t="s">
        <v>56</v>
      </c>
      <c r="B4">
        <v>616.65</v>
      </c>
      <c r="C4">
        <v>137</v>
      </c>
      <c r="D4" s="4">
        <v>0.22216816670720832</v>
      </c>
      <c r="G4" t="s">
        <v>65</v>
      </c>
      <c r="H4" s="16" t="s">
        <v>75</v>
      </c>
    </row>
    <row r="5" spans="1:8" x14ac:dyDescent="0.35">
      <c r="A5" s="3" t="s">
        <v>28</v>
      </c>
      <c r="B5">
        <v>1111.1199999999999</v>
      </c>
      <c r="C5">
        <v>211</v>
      </c>
      <c r="D5" s="4">
        <v>0.18989848081215352</v>
      </c>
      <c r="G5" t="str">
        <f>INDEX('Discharges per Inpatient Day'!$A$4:$A$55,MATCH(LARGE('Discharges per Inpatient Day'!$D$4:$D$55,ROW()-4),'Discharges per Inpatient Day'!$D$4:$D$55,0))</f>
        <v>Utah</v>
      </c>
      <c r="H5" s="39">
        <f>LARGE('Discharges per Inpatient Day'!$D$4:$D$55,ROW()-4)</f>
        <v>0.22216816670720832</v>
      </c>
    </row>
    <row r="6" spans="1:8" x14ac:dyDescent="0.35">
      <c r="A6" s="3" t="s">
        <v>62</v>
      </c>
      <c r="B6">
        <v>899.42</v>
      </c>
      <c r="C6">
        <v>162</v>
      </c>
      <c r="D6" s="4">
        <v>0.18011607480376243</v>
      </c>
      <c r="G6" t="str">
        <f>INDEX('Discharges per Inpatient Day'!$A$4:$A$55,MATCH(LARGE('Discharges per Inpatient Day'!$D$4:$D$55,ROW()-4),'Discharges per Inpatient Day'!$D$4:$D$55,0))</f>
        <v>Kansas</v>
      </c>
      <c r="H6" s="39">
        <f>LARGE('Discharges per Inpatient Day'!$D$4:$D$55,ROW()-4)</f>
        <v>0.18989848081215352</v>
      </c>
    </row>
    <row r="7" spans="1:8" x14ac:dyDescent="0.35">
      <c r="A7" s="3" t="s">
        <v>17</v>
      </c>
      <c r="B7">
        <v>911.99</v>
      </c>
      <c r="C7">
        <v>164</v>
      </c>
      <c r="D7" s="4">
        <v>0.17982653318567091</v>
      </c>
      <c r="G7" t="str">
        <f>INDEX('Discharges per Inpatient Day'!$A$4:$A$55,MATCH(LARGE('Discharges per Inpatient Day'!$D$4:$D$55,ROW()-4),'Discharges per Inpatient Day'!$D$4:$D$55,0))</f>
        <v>Wyoming</v>
      </c>
      <c r="H7" s="39">
        <f>LARGE('Discharges per Inpatient Day'!$D$4:$D$55,ROW()-4)</f>
        <v>0.18011607480376243</v>
      </c>
    </row>
    <row r="8" spans="1:8" x14ac:dyDescent="0.35">
      <c r="A8" s="3" t="s">
        <v>48</v>
      </c>
      <c r="B8">
        <v>1344.17</v>
      </c>
      <c r="C8">
        <v>238</v>
      </c>
      <c r="D8" s="4">
        <v>0.17706093723264169</v>
      </c>
      <c r="G8" t="str">
        <f>INDEX('Discharges per Inpatient Day'!$A$4:$A$55,MATCH(LARGE('Discharges per Inpatient Day'!$D$4:$D$55,ROW()-4),'Discharges per Inpatient Day'!$D$4:$D$55,0))</f>
        <v>Colorado</v>
      </c>
      <c r="H8" s="39">
        <f>LARGE('Discharges per Inpatient Day'!$D$4:$D$55,ROW()-4)</f>
        <v>0.17982653318567091</v>
      </c>
    </row>
    <row r="9" spans="1:8" x14ac:dyDescent="0.35">
      <c r="A9" s="3" t="s">
        <v>47</v>
      </c>
      <c r="B9">
        <v>1314.22</v>
      </c>
      <c r="C9">
        <v>231</v>
      </c>
      <c r="D9" s="4">
        <v>0.17576965804811978</v>
      </c>
      <c r="G9" t="str">
        <f>INDEX('Discharges per Inpatient Day'!$A$4:$A$55,MATCH(LARGE('Discharges per Inpatient Day'!$D$4:$D$55,ROW()-4),'Discharges per Inpatient Day'!$D$4:$D$55,0))</f>
        <v>Oklahoma</v>
      </c>
      <c r="H9" s="39">
        <f>LARGE('Discharges per Inpatient Day'!$D$4:$D$55,ROW()-4)</f>
        <v>0.17706093723264169</v>
      </c>
    </row>
    <row r="10" spans="1:8" x14ac:dyDescent="0.35">
      <c r="A10" s="3" t="s">
        <v>16</v>
      </c>
      <c r="B10">
        <v>917.92</v>
      </c>
      <c r="C10">
        <v>161</v>
      </c>
      <c r="D10" s="4">
        <v>0.17539654871884261</v>
      </c>
      <c r="H10" s="13"/>
    </row>
    <row r="11" spans="1:8" x14ac:dyDescent="0.35">
      <c r="A11" s="3" t="s">
        <v>50</v>
      </c>
      <c r="B11">
        <v>1296.3</v>
      </c>
      <c r="C11">
        <v>227</v>
      </c>
      <c r="D11" s="4">
        <v>0.1751137853891846</v>
      </c>
    </row>
    <row r="12" spans="1:8" x14ac:dyDescent="0.35">
      <c r="A12" s="3" t="s">
        <v>27</v>
      </c>
      <c r="B12">
        <v>931.84</v>
      </c>
      <c r="C12">
        <v>162</v>
      </c>
      <c r="D12" s="4">
        <v>0.17384958791208791</v>
      </c>
    </row>
    <row r="13" spans="1:8" x14ac:dyDescent="0.35">
      <c r="A13" s="3" t="s">
        <v>37</v>
      </c>
      <c r="B13">
        <v>1336.39</v>
      </c>
      <c r="C13">
        <v>232</v>
      </c>
      <c r="D13" s="4">
        <v>0.17360201737516742</v>
      </c>
    </row>
    <row r="14" spans="1:8" x14ac:dyDescent="0.35">
      <c r="A14" s="3" t="s">
        <v>15</v>
      </c>
      <c r="B14">
        <v>1354.42</v>
      </c>
      <c r="C14">
        <v>235</v>
      </c>
      <c r="D14" s="4">
        <v>0.17350600256936546</v>
      </c>
    </row>
    <row r="15" spans="1:8" x14ac:dyDescent="0.35">
      <c r="A15" s="3" t="s">
        <v>24</v>
      </c>
      <c r="B15">
        <v>730.54</v>
      </c>
      <c r="C15">
        <v>126</v>
      </c>
      <c r="D15" s="4">
        <v>0.17247515536452487</v>
      </c>
      <c r="G15" t="s">
        <v>128</v>
      </c>
    </row>
    <row r="16" spans="1:8" x14ac:dyDescent="0.35">
      <c r="A16" s="3" t="s">
        <v>35</v>
      </c>
      <c r="B16">
        <v>841.4</v>
      </c>
      <c r="C16">
        <v>145</v>
      </c>
      <c r="D16" s="4">
        <v>0.17233182790587118</v>
      </c>
      <c r="G16" t="s">
        <v>65</v>
      </c>
      <c r="H16" s="16" t="s">
        <v>75</v>
      </c>
    </row>
    <row r="17" spans="1:8" x14ac:dyDescent="0.35">
      <c r="A17" s="3" t="s">
        <v>14</v>
      </c>
      <c r="B17">
        <v>1140.79</v>
      </c>
      <c r="C17">
        <v>195</v>
      </c>
      <c r="D17" s="4">
        <v>0.17093417719299783</v>
      </c>
      <c r="G17" t="str">
        <f>INDEX('Discharges per Inpatient Day'!$A$4:$A$55,MATCH(SMALL('Discharges per Inpatient Day'!$D$4:$D$55,ROW()-16),'Discharges per Inpatient Day'!$D$4:$D$55,0))</f>
        <v>Dist. of Columbia</v>
      </c>
      <c r="H17" s="39">
        <f>SMALL('Discharges per Inpatient Day'!$D$4:$D$55,ROW()-16)</f>
        <v>0.1140877027930202</v>
      </c>
    </row>
    <row r="18" spans="1:8" x14ac:dyDescent="0.35">
      <c r="A18" s="3" t="s">
        <v>55</v>
      </c>
      <c r="B18">
        <v>1330.01</v>
      </c>
      <c r="C18">
        <v>227</v>
      </c>
      <c r="D18" s="4">
        <v>0.17067540845557552</v>
      </c>
      <c r="G18" t="str">
        <f>INDEX('Discharges per Inpatient Day'!$A$4:$A$55,MATCH(SMALL('Discharges per Inpatient Day'!$D$4:$D$55,ROW()-16),'Discharges per Inpatient Day'!$D$4:$D$55,0))</f>
        <v>Hawaii</v>
      </c>
      <c r="H18" s="39">
        <f>SMALL('Discharges per Inpatient Day'!$D$4:$D$55,ROW()-16)</f>
        <v>0.12706683395801202</v>
      </c>
    </row>
    <row r="19" spans="1:8" x14ac:dyDescent="0.35">
      <c r="A19" s="3" t="s">
        <v>51</v>
      </c>
      <c r="B19">
        <v>1206.06</v>
      </c>
      <c r="C19">
        <v>205</v>
      </c>
      <c r="D19" s="4">
        <v>0.16997495978641197</v>
      </c>
      <c r="G19" t="str">
        <f>INDEX('Discharges per Inpatient Day'!$A$4:$A$55,MATCH(SMALL('Discharges per Inpatient Day'!$D$4:$D$55,ROW()-16),'Discharges per Inpatient Day'!$D$4:$D$55,0))</f>
        <v>Delaware</v>
      </c>
      <c r="H19" s="39">
        <f>SMALL('Discharges per Inpatient Day'!$D$4:$D$55,ROW()-16)</f>
        <v>0.13096073040088879</v>
      </c>
    </row>
    <row r="20" spans="1:8" x14ac:dyDescent="0.35">
      <c r="A20" s="3" t="s">
        <v>21</v>
      </c>
      <c r="B20">
        <v>1279.98</v>
      </c>
      <c r="C20">
        <v>217</v>
      </c>
      <c r="D20" s="4">
        <v>0.16953389896717136</v>
      </c>
      <c r="G20" t="str">
        <f>INDEX('Discharges per Inpatient Day'!$A$4:$A$55,MATCH(SMALL('Discharges per Inpatient Day'!$D$4:$D$55,ROW()-16),'Discharges per Inpatient Day'!$D$4:$D$55,0))</f>
        <v>Maine</v>
      </c>
      <c r="H20" s="39">
        <f>SMALL('Discharges per Inpatient Day'!$D$4:$D$55,ROW()-16)</f>
        <v>0.13440709669470549</v>
      </c>
    </row>
    <row r="21" spans="1:8" x14ac:dyDescent="0.35">
      <c r="A21" s="3" t="s">
        <v>30</v>
      </c>
      <c r="B21">
        <v>1212.17</v>
      </c>
      <c r="C21">
        <v>205</v>
      </c>
      <c r="D21" s="4">
        <v>0.16911819299273204</v>
      </c>
      <c r="G21" t="str">
        <f>INDEX('Discharges per Inpatient Day'!$A$4:$A$55,MATCH(SMALL('Discharges per Inpatient Day'!$D$4:$D$55,ROW()-16),'Discharges per Inpatient Day'!$D$4:$D$55,0))</f>
        <v>Washington</v>
      </c>
      <c r="H21" s="39">
        <f>SMALL('Discharges per Inpatient Day'!$D$4:$D$55,ROW()-16)</f>
        <v>0.13500873585937914</v>
      </c>
    </row>
    <row r="22" spans="1:8" x14ac:dyDescent="0.35">
      <c r="A22" s="3" t="s">
        <v>43</v>
      </c>
      <c r="B22">
        <v>985.64</v>
      </c>
      <c r="C22">
        <v>166</v>
      </c>
      <c r="D22" s="4">
        <v>0.16841848950935434</v>
      </c>
      <c r="H22" s="13"/>
    </row>
    <row r="23" spans="1:8" x14ac:dyDescent="0.35">
      <c r="A23" s="3" t="s">
        <v>26</v>
      </c>
      <c r="B23">
        <v>1288.3800000000001</v>
      </c>
      <c r="C23">
        <v>216</v>
      </c>
      <c r="D23" s="4">
        <v>0.16765240068923765</v>
      </c>
    </row>
    <row r="24" spans="1:8" x14ac:dyDescent="0.35">
      <c r="A24" s="3" t="s">
        <v>60</v>
      </c>
      <c r="B24">
        <v>1256.83</v>
      </c>
      <c r="C24">
        <v>208</v>
      </c>
      <c r="D24" s="4">
        <v>0.16549573132404544</v>
      </c>
    </row>
    <row r="25" spans="1:8" x14ac:dyDescent="0.35">
      <c r="A25" s="3" t="s">
        <v>25</v>
      </c>
      <c r="B25">
        <v>1330.57</v>
      </c>
      <c r="C25">
        <v>220</v>
      </c>
      <c r="D25" s="4">
        <v>0.16534267268914826</v>
      </c>
    </row>
    <row r="26" spans="1:8" x14ac:dyDescent="0.35">
      <c r="A26" s="3" t="s">
        <v>46</v>
      </c>
      <c r="B26">
        <v>426.31</v>
      </c>
      <c r="C26">
        <v>70</v>
      </c>
      <c r="D26" s="4">
        <v>0.16419976073749148</v>
      </c>
    </row>
    <row r="27" spans="1:8" x14ac:dyDescent="0.35">
      <c r="A27" s="3" t="s">
        <v>53</v>
      </c>
      <c r="B27">
        <v>465.65</v>
      </c>
      <c r="C27">
        <v>76</v>
      </c>
      <c r="D27" s="4">
        <v>0.16321271341136048</v>
      </c>
    </row>
    <row r="28" spans="1:8" x14ac:dyDescent="0.35">
      <c r="A28" s="3" t="s">
        <v>18</v>
      </c>
      <c r="B28">
        <v>1209.8699999999999</v>
      </c>
      <c r="C28">
        <v>197</v>
      </c>
      <c r="D28" s="4">
        <v>0.16282741120946881</v>
      </c>
    </row>
    <row r="29" spans="1:8" x14ac:dyDescent="0.35">
      <c r="A29" s="3" t="s">
        <v>34</v>
      </c>
      <c r="B29">
        <v>1266.3399999999999</v>
      </c>
      <c r="C29">
        <v>206</v>
      </c>
      <c r="D29" s="4">
        <v>0.16267353159499029</v>
      </c>
    </row>
    <row r="30" spans="1:8" x14ac:dyDescent="0.35">
      <c r="A30" s="3" t="s">
        <v>42</v>
      </c>
      <c r="B30">
        <v>1417.59</v>
      </c>
      <c r="C30">
        <v>230</v>
      </c>
      <c r="D30" s="4">
        <v>0.16224719418167455</v>
      </c>
    </row>
    <row r="31" spans="1:8" x14ac:dyDescent="0.35">
      <c r="A31" s="3" t="s">
        <v>61</v>
      </c>
      <c r="B31">
        <v>908.33</v>
      </c>
      <c r="C31">
        <v>147</v>
      </c>
      <c r="D31" s="4">
        <v>0.16183545627690377</v>
      </c>
    </row>
    <row r="32" spans="1:8" x14ac:dyDescent="0.35">
      <c r="A32" s="3" t="s">
        <v>40</v>
      </c>
      <c r="B32">
        <v>1337.44</v>
      </c>
      <c r="C32">
        <v>216</v>
      </c>
      <c r="D32" s="4">
        <v>0.16150257207799976</v>
      </c>
    </row>
    <row r="33" spans="1:4" x14ac:dyDescent="0.35">
      <c r="A33" s="3" t="s">
        <v>38</v>
      </c>
      <c r="B33">
        <v>853.78</v>
      </c>
      <c r="C33">
        <v>137</v>
      </c>
      <c r="D33" s="4">
        <v>0.16046288270983158</v>
      </c>
    </row>
    <row r="34" spans="1:4" x14ac:dyDescent="0.35">
      <c r="A34" s="3" t="s">
        <v>58</v>
      </c>
      <c r="B34">
        <v>1413.78</v>
      </c>
      <c r="C34">
        <v>222</v>
      </c>
      <c r="D34" s="4">
        <v>0.15702584560539828</v>
      </c>
    </row>
    <row r="35" spans="1:4" x14ac:dyDescent="0.35">
      <c r="A35" s="3" t="s">
        <v>52</v>
      </c>
      <c r="B35">
        <v>1433.1</v>
      </c>
      <c r="C35">
        <v>224</v>
      </c>
      <c r="D35" s="4">
        <v>0.15630451468843767</v>
      </c>
    </row>
    <row r="36" spans="1:4" x14ac:dyDescent="0.35">
      <c r="A36" s="3" t="s">
        <v>45</v>
      </c>
      <c r="B36">
        <v>1235.02</v>
      </c>
      <c r="C36">
        <v>193</v>
      </c>
      <c r="D36" s="4">
        <v>0.15627277291056016</v>
      </c>
    </row>
    <row r="37" spans="1:4" x14ac:dyDescent="0.35">
      <c r="A37" s="3" t="s">
        <v>39</v>
      </c>
      <c r="B37">
        <v>1077.56</v>
      </c>
      <c r="C37">
        <v>168</v>
      </c>
      <c r="D37" s="4">
        <v>0.15590779167749361</v>
      </c>
    </row>
    <row r="38" spans="1:4" x14ac:dyDescent="0.35">
      <c r="A38" s="3" t="s">
        <v>49</v>
      </c>
      <c r="B38">
        <v>941.94</v>
      </c>
      <c r="C38">
        <v>146</v>
      </c>
      <c r="D38" s="4">
        <v>0.1549992568528781</v>
      </c>
    </row>
    <row r="39" spans="1:4" x14ac:dyDescent="0.35">
      <c r="A39" s="3" t="s">
        <v>54</v>
      </c>
      <c r="B39">
        <v>1417.13</v>
      </c>
      <c r="C39">
        <v>219</v>
      </c>
      <c r="D39" s="4">
        <v>0.15453769237825746</v>
      </c>
    </row>
    <row r="40" spans="1:4" x14ac:dyDescent="0.35">
      <c r="A40" s="3" t="s">
        <v>33</v>
      </c>
      <c r="B40">
        <v>1490.51</v>
      </c>
      <c r="C40">
        <v>228</v>
      </c>
      <c r="D40" s="4">
        <v>0.15296777613031781</v>
      </c>
    </row>
    <row r="41" spans="1:4" x14ac:dyDescent="0.35">
      <c r="A41" s="3" t="s">
        <v>36</v>
      </c>
      <c r="B41">
        <v>1416.74</v>
      </c>
      <c r="C41">
        <v>216</v>
      </c>
      <c r="D41" s="4">
        <v>0.15246269604867513</v>
      </c>
    </row>
    <row r="42" spans="1:4" x14ac:dyDescent="0.35">
      <c r="A42" s="3" t="s">
        <v>12</v>
      </c>
      <c r="B42">
        <v>1486.96</v>
      </c>
      <c r="C42">
        <v>225</v>
      </c>
      <c r="D42" s="4">
        <v>0.15131543551944907</v>
      </c>
    </row>
    <row r="43" spans="1:4" x14ac:dyDescent="0.35">
      <c r="A43" s="3" t="s">
        <v>29</v>
      </c>
      <c r="B43">
        <v>1489.13</v>
      </c>
      <c r="C43">
        <v>223</v>
      </c>
      <c r="D43" s="4">
        <v>0.14975186854069153</v>
      </c>
    </row>
    <row r="44" spans="1:4" x14ac:dyDescent="0.35">
      <c r="A44" s="3" t="s">
        <v>13</v>
      </c>
      <c r="B44">
        <v>1122.47</v>
      </c>
      <c r="C44">
        <v>168</v>
      </c>
      <c r="D44" s="4">
        <v>0.14966992436323465</v>
      </c>
    </row>
    <row r="45" spans="1:4" x14ac:dyDescent="0.35">
      <c r="A45" s="3" t="s">
        <v>22</v>
      </c>
      <c r="B45">
        <v>1494.29</v>
      </c>
      <c r="C45">
        <v>223</v>
      </c>
      <c r="D45" s="4">
        <v>0.14923475362881369</v>
      </c>
    </row>
    <row r="46" spans="1:4" x14ac:dyDescent="0.35">
      <c r="A46" s="3" t="s">
        <v>44</v>
      </c>
      <c r="B46">
        <v>1431.68</v>
      </c>
      <c r="C46">
        <v>211</v>
      </c>
      <c r="D46" s="4">
        <v>0.14737930263746088</v>
      </c>
    </row>
    <row r="47" spans="1:4" x14ac:dyDescent="0.35">
      <c r="A47" s="3" t="s">
        <v>41</v>
      </c>
      <c r="B47">
        <v>1041.23</v>
      </c>
      <c r="C47">
        <v>153</v>
      </c>
      <c r="D47" s="4">
        <v>0.14694159791784717</v>
      </c>
    </row>
    <row r="48" spans="1:4" x14ac:dyDescent="0.35">
      <c r="A48" s="3" t="s">
        <v>63</v>
      </c>
      <c r="B48">
        <v>1201.23</v>
      </c>
      <c r="C48">
        <v>173</v>
      </c>
      <c r="D48" s="4">
        <v>0.14401904714334474</v>
      </c>
    </row>
    <row r="49" spans="1:4" x14ac:dyDescent="0.35">
      <c r="A49" s="3" t="s">
        <v>32</v>
      </c>
      <c r="B49">
        <v>1429.92</v>
      </c>
      <c r="C49">
        <v>201</v>
      </c>
      <c r="D49" s="4">
        <v>0.14056730446458543</v>
      </c>
    </row>
    <row r="50" spans="1:4" x14ac:dyDescent="0.35">
      <c r="A50" s="3" t="s">
        <v>57</v>
      </c>
      <c r="B50">
        <v>926.36</v>
      </c>
      <c r="C50">
        <v>130</v>
      </c>
      <c r="D50" s="4">
        <v>0.14033421132173238</v>
      </c>
    </row>
    <row r="51" spans="1:4" x14ac:dyDescent="0.35">
      <c r="A51" s="3" t="s">
        <v>59</v>
      </c>
      <c r="B51">
        <v>1133.26</v>
      </c>
      <c r="C51">
        <v>153</v>
      </c>
      <c r="D51" s="4">
        <v>0.13500873585937914</v>
      </c>
    </row>
    <row r="52" spans="1:4" x14ac:dyDescent="0.35">
      <c r="A52" s="3" t="s">
        <v>31</v>
      </c>
      <c r="B52">
        <v>892.81</v>
      </c>
      <c r="C52">
        <v>120</v>
      </c>
      <c r="D52" s="4">
        <v>0.13440709669470549</v>
      </c>
    </row>
    <row r="53" spans="1:4" x14ac:dyDescent="0.35">
      <c r="A53" s="3" t="s">
        <v>19</v>
      </c>
      <c r="B53">
        <v>1611.17</v>
      </c>
      <c r="C53">
        <v>211</v>
      </c>
      <c r="D53" s="4">
        <v>0.13096073040088879</v>
      </c>
    </row>
    <row r="54" spans="1:4" x14ac:dyDescent="0.35">
      <c r="A54" s="3" t="s">
        <v>23</v>
      </c>
      <c r="B54">
        <v>1251.31</v>
      </c>
      <c r="C54">
        <v>159</v>
      </c>
      <c r="D54" s="4">
        <v>0.12706683395801202</v>
      </c>
    </row>
    <row r="55" spans="1:4" x14ac:dyDescent="0.35">
      <c r="A55" s="3" t="s">
        <v>133</v>
      </c>
      <c r="B55">
        <v>2349.0700000000002</v>
      </c>
      <c r="C55">
        <v>268</v>
      </c>
      <c r="D55" s="4">
        <v>0.1140877027930202</v>
      </c>
    </row>
    <row r="56" spans="1:4" x14ac:dyDescent="0.35">
      <c r="A56" s="3" t="s">
        <v>64</v>
      </c>
      <c r="B56">
        <v>61808.790000000008</v>
      </c>
      <c r="C56">
        <v>9803</v>
      </c>
      <c r="D56" s="4">
        <v>0.15860203702418377</v>
      </c>
    </row>
  </sheetData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6DE0-B4B0-43D5-BF1D-E5F4D6821116}">
  <dimension ref="A3:D56"/>
  <sheetViews>
    <sheetView workbookViewId="0">
      <selection activeCell="C17" sqref="C17"/>
    </sheetView>
  </sheetViews>
  <sheetFormatPr defaultRowHeight="14.5" x14ac:dyDescent="0.35"/>
  <cols>
    <col min="1" max="1" width="17" bestFit="1" customWidth="1"/>
    <col min="2" max="2" width="15.6328125" bestFit="1" customWidth="1"/>
    <col min="3" max="3" width="48" bestFit="1" customWidth="1"/>
    <col min="4" max="4" width="48" style="5" bestFit="1" customWidth="1"/>
    <col min="5" max="8" width="4.81640625" bestFit="1" customWidth="1"/>
    <col min="9" max="32" width="5.81640625" bestFit="1" customWidth="1"/>
    <col min="33" max="53" width="6.81640625" bestFit="1" customWidth="1"/>
    <col min="54" max="54" width="10.36328125" bestFit="1" customWidth="1"/>
  </cols>
  <sheetData>
    <row r="3" spans="1:4" x14ac:dyDescent="0.35">
      <c r="A3" s="2" t="s">
        <v>91</v>
      </c>
      <c r="B3" t="s">
        <v>69</v>
      </c>
      <c r="D3"/>
    </row>
    <row r="4" spans="1:4" x14ac:dyDescent="0.35">
      <c r="A4" s="3" t="s">
        <v>63</v>
      </c>
      <c r="B4" s="13">
        <v>0.20458669584644143</v>
      </c>
      <c r="D4"/>
    </row>
    <row r="5" spans="1:4" x14ac:dyDescent="0.35">
      <c r="A5" s="3" t="s">
        <v>53</v>
      </c>
      <c r="B5" s="13">
        <v>0.70882832518052641</v>
      </c>
      <c r="D5"/>
    </row>
    <row r="6" spans="1:4" x14ac:dyDescent="0.35">
      <c r="A6" s="3" t="s">
        <v>61</v>
      </c>
      <c r="B6" s="13">
        <v>0.71847605149319849</v>
      </c>
      <c r="D6"/>
    </row>
    <row r="7" spans="1:4" x14ac:dyDescent="0.35">
      <c r="A7" s="3" t="s">
        <v>39</v>
      </c>
      <c r="B7" s="13">
        <v>0.71990269291694953</v>
      </c>
      <c r="D7"/>
    </row>
    <row r="8" spans="1:4" x14ac:dyDescent="0.35">
      <c r="A8" s="3" t="s">
        <v>57</v>
      </c>
      <c r="B8" s="13">
        <v>0.73131927064712188</v>
      </c>
      <c r="D8"/>
    </row>
    <row r="9" spans="1:4" x14ac:dyDescent="0.35">
      <c r="A9" s="3" t="s">
        <v>35</v>
      </c>
      <c r="B9" s="13">
        <v>0.73521039461903992</v>
      </c>
      <c r="D9"/>
    </row>
    <row r="10" spans="1:4" x14ac:dyDescent="0.35">
      <c r="A10" s="3" t="s">
        <v>38</v>
      </c>
      <c r="B10" s="13">
        <v>0.73727742676622632</v>
      </c>
      <c r="D10"/>
    </row>
    <row r="11" spans="1:4" x14ac:dyDescent="0.35">
      <c r="A11" s="3" t="s">
        <v>31</v>
      </c>
      <c r="B11" s="13">
        <v>0.73844789356984475</v>
      </c>
      <c r="D11"/>
    </row>
    <row r="12" spans="1:4" x14ac:dyDescent="0.35">
      <c r="A12" s="3" t="s">
        <v>56</v>
      </c>
      <c r="B12" s="13">
        <v>0.73904741317192679</v>
      </c>
      <c r="D12"/>
    </row>
    <row r="13" spans="1:4" x14ac:dyDescent="0.35">
      <c r="A13" s="3" t="s">
        <v>27</v>
      </c>
      <c r="B13" s="13">
        <v>0.7403058031057197</v>
      </c>
      <c r="D13"/>
    </row>
    <row r="14" spans="1:4" x14ac:dyDescent="0.35">
      <c r="A14" s="3" t="s">
        <v>24</v>
      </c>
      <c r="B14" s="13">
        <v>0.74641242382543738</v>
      </c>
      <c r="D14"/>
    </row>
    <row r="15" spans="1:4" x14ac:dyDescent="0.35">
      <c r="A15" s="3" t="s">
        <v>28</v>
      </c>
      <c r="B15" s="13">
        <v>0.74936568578844531</v>
      </c>
      <c r="D15"/>
    </row>
    <row r="16" spans="1:4" x14ac:dyDescent="0.35">
      <c r="A16" s="3" t="s">
        <v>62</v>
      </c>
      <c r="B16" s="13">
        <v>0.75180722891566265</v>
      </c>
      <c r="D16"/>
    </row>
    <row r="17" spans="1:4" x14ac:dyDescent="0.35">
      <c r="A17" s="3" t="s">
        <v>29</v>
      </c>
      <c r="B17" s="13">
        <v>0.76552193793170542</v>
      </c>
      <c r="D17"/>
    </row>
    <row r="18" spans="1:4" x14ac:dyDescent="0.35">
      <c r="A18" s="3" t="s">
        <v>15</v>
      </c>
      <c r="B18" s="13">
        <v>0.76788015187176795</v>
      </c>
      <c r="D18"/>
    </row>
    <row r="19" spans="1:4" x14ac:dyDescent="0.35">
      <c r="A19" s="3" t="s">
        <v>41</v>
      </c>
      <c r="B19" s="13">
        <v>0.76865109269027887</v>
      </c>
      <c r="D19"/>
    </row>
    <row r="20" spans="1:4" x14ac:dyDescent="0.35">
      <c r="A20" s="3" t="s">
        <v>48</v>
      </c>
      <c r="B20" s="13">
        <v>0.76935068984332367</v>
      </c>
      <c r="D20"/>
    </row>
    <row r="21" spans="1:4" x14ac:dyDescent="0.35">
      <c r="A21" s="3" t="s">
        <v>60</v>
      </c>
      <c r="B21" s="13">
        <v>0.77207686964575128</v>
      </c>
      <c r="D21"/>
    </row>
    <row r="22" spans="1:4" x14ac:dyDescent="0.35">
      <c r="A22" s="3" t="s">
        <v>59</v>
      </c>
      <c r="B22" s="13">
        <v>0.77311378196643199</v>
      </c>
      <c r="D22"/>
    </row>
    <row r="23" spans="1:4" x14ac:dyDescent="0.35">
      <c r="A23" s="3" t="s">
        <v>12</v>
      </c>
      <c r="B23" s="13">
        <v>0.77311577898249795</v>
      </c>
      <c r="D23"/>
    </row>
    <row r="24" spans="1:4" x14ac:dyDescent="0.35">
      <c r="A24" s="3" t="s">
        <v>26</v>
      </c>
      <c r="B24" s="13">
        <v>0.77332939183790861</v>
      </c>
      <c r="D24"/>
    </row>
    <row r="25" spans="1:4" x14ac:dyDescent="0.35">
      <c r="A25" s="3" t="s">
        <v>49</v>
      </c>
      <c r="B25" s="13">
        <v>0.77600221823329396</v>
      </c>
      <c r="D25"/>
    </row>
    <row r="26" spans="1:4" x14ac:dyDescent="0.35">
      <c r="A26" s="3" t="s">
        <v>43</v>
      </c>
      <c r="B26" s="13">
        <v>0.78183639202285915</v>
      </c>
      <c r="D26"/>
    </row>
    <row r="27" spans="1:4" x14ac:dyDescent="0.35">
      <c r="A27" s="3" t="s">
        <v>17</v>
      </c>
      <c r="B27" s="13">
        <v>0.78400370809084818</v>
      </c>
      <c r="D27"/>
    </row>
    <row r="28" spans="1:4" x14ac:dyDescent="0.35">
      <c r="A28" s="3" t="s">
        <v>37</v>
      </c>
      <c r="B28" s="13">
        <v>0.78564100387029212</v>
      </c>
      <c r="D28"/>
    </row>
    <row r="29" spans="1:4" x14ac:dyDescent="0.35">
      <c r="A29" s="3" t="s">
        <v>46</v>
      </c>
      <c r="B29" s="13">
        <v>0.78816434225405196</v>
      </c>
      <c r="D29"/>
    </row>
    <row r="30" spans="1:4" x14ac:dyDescent="0.35">
      <c r="A30" s="3" t="s">
        <v>52</v>
      </c>
      <c r="B30" s="13">
        <v>0.79344197175905351</v>
      </c>
      <c r="D30"/>
    </row>
    <row r="31" spans="1:4" x14ac:dyDescent="0.35">
      <c r="A31" s="3" t="s">
        <v>47</v>
      </c>
      <c r="B31" s="13">
        <v>0.7941567795590424</v>
      </c>
      <c r="D31"/>
    </row>
    <row r="32" spans="1:4" x14ac:dyDescent="0.35">
      <c r="A32" s="3" t="s">
        <v>45</v>
      </c>
      <c r="B32" s="13">
        <v>0.80084609832384313</v>
      </c>
      <c r="D32"/>
    </row>
    <row r="33" spans="1:4" x14ac:dyDescent="0.35">
      <c r="A33" s="3" t="s">
        <v>30</v>
      </c>
      <c r="B33" s="13">
        <v>0.80297735457877806</v>
      </c>
      <c r="D33"/>
    </row>
    <row r="34" spans="1:4" x14ac:dyDescent="0.35">
      <c r="A34" s="3" t="s">
        <v>36</v>
      </c>
      <c r="B34" s="13">
        <v>0.80650448034395417</v>
      </c>
      <c r="D34"/>
    </row>
    <row r="35" spans="1:4" x14ac:dyDescent="0.35">
      <c r="A35" s="3" t="s">
        <v>25</v>
      </c>
      <c r="B35" s="13">
        <v>0.80667798411772906</v>
      </c>
      <c r="D35"/>
    </row>
    <row r="36" spans="1:4" x14ac:dyDescent="0.35">
      <c r="A36" s="3" t="s">
        <v>34</v>
      </c>
      <c r="B36" s="13">
        <v>0.80746208454340107</v>
      </c>
      <c r="D36"/>
    </row>
    <row r="37" spans="1:4" x14ac:dyDescent="0.35">
      <c r="A37" s="3" t="s">
        <v>14</v>
      </c>
      <c r="B37" s="13">
        <v>0.80975259135961264</v>
      </c>
      <c r="D37"/>
    </row>
    <row r="38" spans="1:4" x14ac:dyDescent="0.35">
      <c r="A38" s="3" t="s">
        <v>33</v>
      </c>
      <c r="B38" s="13">
        <v>0.80995651521967316</v>
      </c>
      <c r="D38"/>
    </row>
    <row r="39" spans="1:4" x14ac:dyDescent="0.35">
      <c r="A39" s="3" t="s">
        <v>54</v>
      </c>
      <c r="B39" s="13">
        <v>0.81156417866841957</v>
      </c>
      <c r="D39"/>
    </row>
    <row r="40" spans="1:4" x14ac:dyDescent="0.35">
      <c r="A40" s="3" t="s">
        <v>32</v>
      </c>
      <c r="B40" s="13">
        <v>0.81168196447729168</v>
      </c>
      <c r="D40"/>
    </row>
    <row r="41" spans="1:4" x14ac:dyDescent="0.35">
      <c r="A41" s="3" t="s">
        <v>44</v>
      </c>
      <c r="B41" s="13">
        <v>0.8187407200582435</v>
      </c>
      <c r="D41"/>
    </row>
    <row r="42" spans="1:4" x14ac:dyDescent="0.35">
      <c r="A42" s="3" t="s">
        <v>55</v>
      </c>
      <c r="B42" s="13">
        <v>0.81930369662205227</v>
      </c>
      <c r="D42"/>
    </row>
    <row r="43" spans="1:4" x14ac:dyDescent="0.35">
      <c r="A43" s="3" t="s">
        <v>18</v>
      </c>
      <c r="B43" s="13">
        <v>0.82018519548412216</v>
      </c>
      <c r="D43"/>
    </row>
    <row r="44" spans="1:4" x14ac:dyDescent="0.35">
      <c r="A44" s="3" t="s">
        <v>22</v>
      </c>
      <c r="B44" s="13">
        <v>0.82182657084803357</v>
      </c>
      <c r="D44"/>
    </row>
    <row r="45" spans="1:4" x14ac:dyDescent="0.35">
      <c r="A45" s="3" t="s">
        <v>50</v>
      </c>
      <c r="B45" s="13">
        <v>0.82264129461956159</v>
      </c>
      <c r="D45"/>
    </row>
    <row r="46" spans="1:4" x14ac:dyDescent="0.35">
      <c r="A46" s="3" t="s">
        <v>58</v>
      </c>
      <c r="B46" s="13">
        <v>0.8247920217343615</v>
      </c>
      <c r="D46"/>
    </row>
    <row r="47" spans="1:4" x14ac:dyDescent="0.35">
      <c r="A47" s="3" t="s">
        <v>16</v>
      </c>
      <c r="B47" s="13">
        <v>0.82933170948597501</v>
      </c>
      <c r="D47"/>
    </row>
    <row r="48" spans="1:4" x14ac:dyDescent="0.35">
      <c r="A48" s="3" t="s">
        <v>21</v>
      </c>
      <c r="B48" s="13">
        <v>0.83073679424078095</v>
      </c>
      <c r="D48"/>
    </row>
    <row r="49" spans="1:4" x14ac:dyDescent="0.35">
      <c r="A49" s="3" t="s">
        <v>13</v>
      </c>
      <c r="B49" s="13">
        <v>0.84807256235827666</v>
      </c>
      <c r="D49"/>
    </row>
    <row r="50" spans="1:4" x14ac:dyDescent="0.35">
      <c r="A50" s="3" t="s">
        <v>51</v>
      </c>
      <c r="B50" s="13">
        <v>0.85048212833520509</v>
      </c>
      <c r="D50"/>
    </row>
    <row r="51" spans="1:4" x14ac:dyDescent="0.35">
      <c r="A51" s="3" t="s">
        <v>42</v>
      </c>
      <c r="B51" s="13">
        <v>0.86200587179451504</v>
      </c>
      <c r="D51"/>
    </row>
    <row r="52" spans="1:4" x14ac:dyDescent="0.35">
      <c r="A52" s="3" t="s">
        <v>19</v>
      </c>
      <c r="B52" s="13">
        <v>0.86252771618625279</v>
      </c>
      <c r="D52"/>
    </row>
    <row r="53" spans="1:4" x14ac:dyDescent="0.35">
      <c r="A53" s="3" t="s">
        <v>23</v>
      </c>
      <c r="B53" s="13">
        <v>0.87017354479780784</v>
      </c>
      <c r="D53"/>
    </row>
    <row r="54" spans="1:4" x14ac:dyDescent="0.35">
      <c r="A54" s="3" t="s">
        <v>40</v>
      </c>
      <c r="B54" s="13">
        <v>0.87136951083935521</v>
      </c>
      <c r="D54"/>
    </row>
    <row r="55" spans="1:4" x14ac:dyDescent="0.35">
      <c r="A55" s="3" t="s">
        <v>20</v>
      </c>
      <c r="B55" s="13">
        <v>0.87526337968815848</v>
      </c>
      <c r="D55"/>
    </row>
    <row r="56" spans="1:4" x14ac:dyDescent="0.35">
      <c r="D5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F5A1-9608-440B-ABCB-58F40A95E156}">
  <dimension ref="A1:L11"/>
  <sheetViews>
    <sheetView workbookViewId="0">
      <selection activeCell="G9" sqref="G9"/>
    </sheetView>
  </sheetViews>
  <sheetFormatPr defaultRowHeight="14.5" x14ac:dyDescent="0.35"/>
  <cols>
    <col min="1" max="1" width="17" bestFit="1" customWidth="1"/>
    <col min="2" max="2" width="15.6328125" bestFit="1" customWidth="1"/>
    <col min="11" max="11" width="11.6328125" bestFit="1" customWidth="1"/>
    <col min="12" max="12" width="15.6328125" bestFit="1" customWidth="1"/>
  </cols>
  <sheetData>
    <row r="1" spans="1:12" x14ac:dyDescent="0.35">
      <c r="A1" s="2" t="s">
        <v>91</v>
      </c>
      <c r="B1" t="s">
        <v>69</v>
      </c>
      <c r="K1" s="2" t="s">
        <v>91</v>
      </c>
      <c r="L1" t="s">
        <v>69</v>
      </c>
    </row>
    <row r="2" spans="1:12" x14ac:dyDescent="0.35">
      <c r="A2" s="3" t="s">
        <v>58</v>
      </c>
      <c r="B2" s="13">
        <v>0.8247920217343615</v>
      </c>
      <c r="K2" s="3" t="s">
        <v>63</v>
      </c>
      <c r="L2" s="13">
        <v>0.20458669584644143</v>
      </c>
    </row>
    <row r="3" spans="1:12" x14ac:dyDescent="0.35">
      <c r="A3" s="3" t="s">
        <v>16</v>
      </c>
      <c r="B3" s="13">
        <v>0.82933170948597501</v>
      </c>
      <c r="K3" s="3" t="s">
        <v>53</v>
      </c>
      <c r="L3" s="13">
        <v>0.70882832518052641</v>
      </c>
    </row>
    <row r="4" spans="1:12" x14ac:dyDescent="0.35">
      <c r="A4" s="3" t="s">
        <v>21</v>
      </c>
      <c r="B4" s="13">
        <v>0.83073679424078095</v>
      </c>
      <c r="K4" s="3" t="s">
        <v>61</v>
      </c>
      <c r="L4" s="13">
        <v>0.71847605149319849</v>
      </c>
    </row>
    <row r="5" spans="1:12" x14ac:dyDescent="0.35">
      <c r="A5" s="3" t="s">
        <v>13</v>
      </c>
      <c r="B5" s="13">
        <v>0.84807256235827666</v>
      </c>
      <c r="K5" s="3" t="s">
        <v>39</v>
      </c>
      <c r="L5" s="13">
        <v>0.71990269291694953</v>
      </c>
    </row>
    <row r="6" spans="1:12" x14ac:dyDescent="0.35">
      <c r="A6" s="3" t="s">
        <v>51</v>
      </c>
      <c r="B6" s="13">
        <v>0.85048212833520509</v>
      </c>
      <c r="K6" s="3" t="s">
        <v>57</v>
      </c>
      <c r="L6" s="13">
        <v>0.73131927064712188</v>
      </c>
    </row>
    <row r="7" spans="1:12" x14ac:dyDescent="0.35">
      <c r="A7" s="3" t="s">
        <v>42</v>
      </c>
      <c r="B7" s="13">
        <v>0.86200587179451504</v>
      </c>
      <c r="K7" s="3" t="s">
        <v>35</v>
      </c>
      <c r="L7" s="13">
        <v>0.73521039461903992</v>
      </c>
    </row>
    <row r="8" spans="1:12" x14ac:dyDescent="0.35">
      <c r="A8" s="3" t="s">
        <v>19</v>
      </c>
      <c r="B8" s="13">
        <v>0.86252771618625279</v>
      </c>
      <c r="K8" s="3" t="s">
        <v>38</v>
      </c>
      <c r="L8" s="13">
        <v>0.73727742676622632</v>
      </c>
    </row>
    <row r="9" spans="1:12" x14ac:dyDescent="0.35">
      <c r="A9" s="3" t="s">
        <v>23</v>
      </c>
      <c r="B9" s="13">
        <v>0.87017354479780784</v>
      </c>
      <c r="K9" s="3" t="s">
        <v>31</v>
      </c>
      <c r="L9" s="13">
        <v>0.73844789356984475</v>
      </c>
    </row>
    <row r="10" spans="1:12" x14ac:dyDescent="0.35">
      <c r="A10" s="3" t="s">
        <v>40</v>
      </c>
      <c r="B10" s="13">
        <v>0.87136951083935521</v>
      </c>
      <c r="K10" s="3" t="s">
        <v>56</v>
      </c>
      <c r="L10" s="13">
        <v>0.73904741317192679</v>
      </c>
    </row>
    <row r="11" spans="1:12" x14ac:dyDescent="0.35">
      <c r="A11" s="3" t="s">
        <v>20</v>
      </c>
      <c r="B11" s="13">
        <v>0.87526337968815848</v>
      </c>
      <c r="K11" s="3" t="s">
        <v>27</v>
      </c>
      <c r="L11" s="13">
        <v>0.7403058031057197</v>
      </c>
    </row>
  </sheetData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AEC5-B3DB-409E-87FF-9FD9DA5C2041}">
  <dimension ref="A3:I69"/>
  <sheetViews>
    <sheetView zoomScale="110" zoomScaleNormal="110" workbookViewId="0">
      <selection activeCell="H27" sqref="H27"/>
    </sheetView>
  </sheetViews>
  <sheetFormatPr defaultRowHeight="14.5" x14ac:dyDescent="0.35"/>
  <cols>
    <col min="1" max="1" width="17" bestFit="1" customWidth="1"/>
    <col min="2" max="2" width="15.453125" customWidth="1"/>
    <col min="3" max="3" width="15" customWidth="1"/>
    <col min="4" max="4" width="12.36328125" style="5" bestFit="1" customWidth="1"/>
    <col min="9" max="9" width="12.36328125" style="5" bestFit="1" customWidth="1"/>
  </cols>
  <sheetData>
    <row r="3" spans="1:8" x14ac:dyDescent="0.35">
      <c r="A3" s="2" t="s">
        <v>77</v>
      </c>
      <c r="B3" t="s">
        <v>70</v>
      </c>
      <c r="C3" t="s">
        <v>71</v>
      </c>
      <c r="D3" s="5" t="s">
        <v>72</v>
      </c>
    </row>
    <row r="4" spans="1:8" x14ac:dyDescent="0.35">
      <c r="A4" s="3" t="s">
        <v>12</v>
      </c>
      <c r="B4">
        <v>4923</v>
      </c>
      <c r="C4">
        <v>132442</v>
      </c>
      <c r="D4" s="5">
        <v>3.7170988055148665E-2</v>
      </c>
    </row>
    <row r="5" spans="1:8" x14ac:dyDescent="0.35">
      <c r="A5" s="3" t="s">
        <v>13</v>
      </c>
      <c r="B5">
        <v>19</v>
      </c>
      <c r="C5">
        <v>441</v>
      </c>
      <c r="D5" s="5">
        <v>4.3083900226757371E-2</v>
      </c>
    </row>
    <row r="6" spans="1:8" x14ac:dyDescent="0.35">
      <c r="A6" s="3" t="s">
        <v>14</v>
      </c>
      <c r="B6">
        <v>5563</v>
      </c>
      <c r="C6">
        <v>132170</v>
      </c>
      <c r="D6" s="5">
        <v>4.20897329197246E-2</v>
      </c>
    </row>
    <row r="7" spans="1:8" x14ac:dyDescent="0.35">
      <c r="A7" s="3" t="s">
        <v>15</v>
      </c>
      <c r="B7">
        <v>1998</v>
      </c>
      <c r="C7">
        <v>58207</v>
      </c>
      <c r="D7" s="5">
        <v>3.4325768378373735E-2</v>
      </c>
    </row>
    <row r="8" spans="1:8" x14ac:dyDescent="0.35">
      <c r="A8" s="3" t="s">
        <v>16</v>
      </c>
      <c r="B8">
        <v>24077</v>
      </c>
      <c r="C8">
        <v>517290</v>
      </c>
      <c r="D8" s="5">
        <v>4.6544491484467126E-2</v>
      </c>
    </row>
    <row r="9" spans="1:8" x14ac:dyDescent="0.35">
      <c r="A9" s="3" t="s">
        <v>17</v>
      </c>
      <c r="B9">
        <v>3076</v>
      </c>
      <c r="C9">
        <v>77668</v>
      </c>
      <c r="D9" s="5">
        <v>3.9604470309522584E-2</v>
      </c>
    </row>
    <row r="10" spans="1:8" x14ac:dyDescent="0.35">
      <c r="A10" s="3" t="s">
        <v>18</v>
      </c>
      <c r="B10">
        <v>2866</v>
      </c>
      <c r="C10">
        <v>71924</v>
      </c>
      <c r="D10" s="5">
        <v>3.9847616928980589E-2</v>
      </c>
    </row>
    <row r="11" spans="1:8" x14ac:dyDescent="0.35">
      <c r="A11" s="3" t="s">
        <v>19</v>
      </c>
      <c r="B11">
        <v>511</v>
      </c>
      <c r="C11">
        <v>13079</v>
      </c>
      <c r="D11" s="5">
        <v>3.9070265310803577E-2</v>
      </c>
    </row>
    <row r="12" spans="1:8" x14ac:dyDescent="0.35">
      <c r="A12" s="3" t="s">
        <v>20</v>
      </c>
      <c r="B12">
        <v>385</v>
      </c>
      <c r="C12">
        <v>7119</v>
      </c>
      <c r="D12" s="5">
        <v>5.4080629301868237E-2</v>
      </c>
    </row>
    <row r="13" spans="1:8" x14ac:dyDescent="0.35">
      <c r="A13" s="3" t="s">
        <v>21</v>
      </c>
      <c r="B13">
        <v>14817</v>
      </c>
      <c r="C13">
        <v>562993</v>
      </c>
      <c r="D13" s="5">
        <v>2.631826683457876E-2</v>
      </c>
    </row>
    <row r="14" spans="1:8" x14ac:dyDescent="0.35">
      <c r="A14" s="3" t="s">
        <v>22</v>
      </c>
      <c r="B14">
        <v>7458</v>
      </c>
      <c r="C14">
        <v>207197</v>
      </c>
      <c r="D14" s="5">
        <v>3.5994729653421625E-2</v>
      </c>
    </row>
    <row r="15" spans="1:8" x14ac:dyDescent="0.35">
      <c r="A15" s="3" t="s">
        <v>23</v>
      </c>
      <c r="B15">
        <v>1207</v>
      </c>
      <c r="C15">
        <v>24086</v>
      </c>
      <c r="D15" s="5">
        <v>5.0112098314373493E-2</v>
      </c>
    </row>
    <row r="16" spans="1:8" x14ac:dyDescent="0.35">
      <c r="A16" s="3" t="s">
        <v>24</v>
      </c>
      <c r="B16">
        <v>847</v>
      </c>
      <c r="C16">
        <v>20348</v>
      </c>
      <c r="D16" s="5">
        <v>4.1625712600747003E-2</v>
      </c>
      <c r="H16" s="19"/>
    </row>
    <row r="17" spans="1:4" x14ac:dyDescent="0.35">
      <c r="A17" s="3" t="s">
        <v>25</v>
      </c>
      <c r="B17">
        <v>7505</v>
      </c>
      <c r="C17">
        <v>193801</v>
      </c>
      <c r="D17" s="5">
        <v>3.8725290375178661E-2</v>
      </c>
    </row>
    <row r="18" spans="1:4" x14ac:dyDescent="0.35">
      <c r="A18" s="3" t="s">
        <v>26</v>
      </c>
      <c r="B18">
        <v>5290</v>
      </c>
      <c r="C18">
        <v>125164</v>
      </c>
      <c r="D18" s="5">
        <v>4.2264548911827682E-2</v>
      </c>
    </row>
    <row r="19" spans="1:4" x14ac:dyDescent="0.35">
      <c r="A19" s="3" t="s">
        <v>27</v>
      </c>
      <c r="B19">
        <v>1475</v>
      </c>
      <c r="C19">
        <v>33551</v>
      </c>
      <c r="D19" s="5">
        <v>4.3962922118565763E-2</v>
      </c>
    </row>
    <row r="20" spans="1:4" x14ac:dyDescent="0.35">
      <c r="A20" s="3" t="s">
        <v>28</v>
      </c>
      <c r="B20">
        <v>1296</v>
      </c>
      <c r="C20">
        <v>34289</v>
      </c>
      <c r="D20" s="5">
        <v>3.7796377847122982E-2</v>
      </c>
    </row>
    <row r="21" spans="1:4" x14ac:dyDescent="0.35">
      <c r="A21" s="3" t="s">
        <v>29</v>
      </c>
      <c r="B21">
        <v>4363</v>
      </c>
      <c r="C21">
        <v>102790</v>
      </c>
      <c r="D21" s="5">
        <v>4.2445763206537604E-2</v>
      </c>
    </row>
    <row r="22" spans="1:4" x14ac:dyDescent="0.35">
      <c r="A22" s="3" t="s">
        <v>30</v>
      </c>
      <c r="B22">
        <v>3709</v>
      </c>
      <c r="C22">
        <v>93573</v>
      </c>
      <c r="D22" s="5">
        <v>3.9637502270954229E-2</v>
      </c>
    </row>
    <row r="23" spans="1:4" x14ac:dyDescent="0.35">
      <c r="A23" s="3" t="s">
        <v>31</v>
      </c>
      <c r="B23">
        <v>920</v>
      </c>
      <c r="C23">
        <v>22550</v>
      </c>
      <c r="D23" s="5">
        <v>4.0798226164079826E-2</v>
      </c>
    </row>
    <row r="24" spans="1:4" x14ac:dyDescent="0.35">
      <c r="A24" s="3" t="s">
        <v>32</v>
      </c>
      <c r="B24">
        <v>1797</v>
      </c>
      <c r="C24">
        <v>41945</v>
      </c>
      <c r="D24" s="5">
        <v>4.2841816664679941E-2</v>
      </c>
    </row>
    <row r="25" spans="1:4" x14ac:dyDescent="0.35">
      <c r="A25" s="3" t="s">
        <v>33</v>
      </c>
      <c r="B25">
        <v>2910</v>
      </c>
      <c r="C25">
        <v>100035</v>
      </c>
      <c r="D25" s="5">
        <v>2.9089818563502776E-2</v>
      </c>
    </row>
    <row r="26" spans="1:4" x14ac:dyDescent="0.35">
      <c r="A26" s="3" t="s">
        <v>34</v>
      </c>
      <c r="B26">
        <v>9951</v>
      </c>
      <c r="C26">
        <v>247920</v>
      </c>
      <c r="D26" s="5">
        <v>4.0137947725072606E-2</v>
      </c>
    </row>
    <row r="27" spans="1:4" x14ac:dyDescent="0.35">
      <c r="A27" s="3" t="s">
        <v>35</v>
      </c>
      <c r="B27">
        <v>3166</v>
      </c>
      <c r="C27">
        <v>87122</v>
      </c>
      <c r="D27" s="5">
        <v>3.6339845274442735E-2</v>
      </c>
    </row>
    <row r="28" spans="1:4" x14ac:dyDescent="0.35">
      <c r="A28" s="3" t="s">
        <v>36</v>
      </c>
      <c r="B28">
        <v>1965</v>
      </c>
      <c r="C28">
        <v>46983</v>
      </c>
      <c r="D28" s="5">
        <v>4.182363833727093E-2</v>
      </c>
    </row>
    <row r="29" spans="1:4" x14ac:dyDescent="0.35">
      <c r="A29" s="3" t="s">
        <v>37</v>
      </c>
      <c r="B29">
        <v>5984</v>
      </c>
      <c r="C29">
        <v>141333</v>
      </c>
      <c r="D29" s="5">
        <v>4.233972249934552E-2</v>
      </c>
    </row>
    <row r="30" spans="1:4" x14ac:dyDescent="0.35">
      <c r="A30" s="3" t="s">
        <v>38</v>
      </c>
      <c r="B30">
        <v>476</v>
      </c>
      <c r="C30">
        <v>8705</v>
      </c>
      <c r="D30" s="5">
        <v>5.4681217690982192E-2</v>
      </c>
    </row>
    <row r="31" spans="1:4" x14ac:dyDescent="0.35">
      <c r="A31" s="3" t="s">
        <v>39</v>
      </c>
      <c r="B31">
        <v>845</v>
      </c>
      <c r="C31">
        <v>17676</v>
      </c>
      <c r="D31" s="5">
        <v>4.7804933242815116E-2</v>
      </c>
    </row>
    <row r="32" spans="1:4" x14ac:dyDescent="0.35">
      <c r="A32" s="3" t="s">
        <v>40</v>
      </c>
      <c r="B32">
        <v>2311</v>
      </c>
      <c r="C32">
        <v>57568</v>
      </c>
      <c r="D32" s="5">
        <v>4.014382990550306E-2</v>
      </c>
    </row>
    <row r="33" spans="1:4" x14ac:dyDescent="0.35">
      <c r="A33" s="3" t="s">
        <v>41</v>
      </c>
      <c r="B33">
        <v>650</v>
      </c>
      <c r="C33">
        <v>14597</v>
      </c>
      <c r="D33" s="5">
        <v>4.4529697883126669E-2</v>
      </c>
    </row>
    <row r="34" spans="1:4" x14ac:dyDescent="0.35">
      <c r="A34" s="3" t="s">
        <v>42</v>
      </c>
      <c r="B34">
        <v>5946</v>
      </c>
      <c r="C34">
        <v>143738</v>
      </c>
      <c r="D34" s="5">
        <v>4.1366931500368728E-2</v>
      </c>
    </row>
    <row r="35" spans="1:4" x14ac:dyDescent="0.35">
      <c r="A35" s="3" t="s">
        <v>43</v>
      </c>
      <c r="B35">
        <v>1544</v>
      </c>
      <c r="C35">
        <v>33947</v>
      </c>
      <c r="D35" s="5">
        <v>4.5482664152944295E-2</v>
      </c>
    </row>
    <row r="36" spans="1:4" x14ac:dyDescent="0.35">
      <c r="A36" s="3" t="s">
        <v>44</v>
      </c>
      <c r="B36">
        <v>16588</v>
      </c>
      <c r="C36">
        <v>383219</v>
      </c>
      <c r="D36" s="5">
        <v>4.328595398453626E-2</v>
      </c>
    </row>
    <row r="37" spans="1:4" x14ac:dyDescent="0.35">
      <c r="A37" s="3" t="s">
        <v>45</v>
      </c>
      <c r="B37">
        <v>8810</v>
      </c>
      <c r="C37">
        <v>199504</v>
      </c>
      <c r="D37" s="5">
        <v>4.4159515598684737E-2</v>
      </c>
    </row>
    <row r="38" spans="1:4" x14ac:dyDescent="0.35">
      <c r="A38" s="3" t="s">
        <v>46</v>
      </c>
      <c r="B38">
        <v>116</v>
      </c>
      <c r="C38">
        <v>2653</v>
      </c>
      <c r="D38" s="5">
        <v>4.372408594044478E-2</v>
      </c>
    </row>
    <row r="39" spans="1:4" x14ac:dyDescent="0.35">
      <c r="A39" s="3" t="s">
        <v>47</v>
      </c>
      <c r="B39">
        <v>10870</v>
      </c>
      <c r="C39">
        <v>290867</v>
      </c>
      <c r="D39" s="5">
        <v>3.737103212121004E-2</v>
      </c>
    </row>
    <row r="40" spans="1:4" x14ac:dyDescent="0.35">
      <c r="A40" s="3" t="s">
        <v>48</v>
      </c>
      <c r="B40">
        <v>2842</v>
      </c>
      <c r="C40">
        <v>64145</v>
      </c>
      <c r="D40" s="5">
        <v>4.430586951438148E-2</v>
      </c>
    </row>
    <row r="41" spans="1:4" x14ac:dyDescent="0.35">
      <c r="A41" s="3" t="s">
        <v>49</v>
      </c>
      <c r="B41">
        <v>3655</v>
      </c>
      <c r="C41">
        <v>68523</v>
      </c>
      <c r="D41" s="5">
        <v>5.3339754534973659E-2</v>
      </c>
    </row>
    <row r="42" spans="1:4" x14ac:dyDescent="0.35">
      <c r="A42" s="3" t="s">
        <v>50</v>
      </c>
      <c r="B42">
        <v>13951</v>
      </c>
      <c r="C42">
        <v>316201</v>
      </c>
      <c r="D42" s="5">
        <v>4.4120670080107276E-2</v>
      </c>
    </row>
    <row r="43" spans="1:4" x14ac:dyDescent="0.35">
      <c r="A43" s="3" t="s">
        <v>63</v>
      </c>
      <c r="B43">
        <v>8332</v>
      </c>
      <c r="C43">
        <v>109665</v>
      </c>
      <c r="D43" s="5">
        <v>7.5976838553777418E-2</v>
      </c>
    </row>
    <row r="44" spans="1:4" x14ac:dyDescent="0.35">
      <c r="A44" s="3" t="s">
        <v>51</v>
      </c>
      <c r="B44">
        <v>414</v>
      </c>
      <c r="C44">
        <v>25823</v>
      </c>
      <c r="D44" s="5">
        <v>1.6032219339348643E-2</v>
      </c>
    </row>
    <row r="45" spans="1:4" x14ac:dyDescent="0.35">
      <c r="A45" s="3" t="s">
        <v>52</v>
      </c>
      <c r="B45">
        <v>3986</v>
      </c>
      <c r="C45">
        <v>105733</v>
      </c>
      <c r="D45" s="5">
        <v>3.7698731711007918E-2</v>
      </c>
    </row>
    <row r="46" spans="1:4" x14ac:dyDescent="0.35">
      <c r="A46" s="3" t="s">
        <v>53</v>
      </c>
      <c r="B46">
        <v>188</v>
      </c>
      <c r="C46">
        <v>4293</v>
      </c>
      <c r="D46" s="5">
        <v>4.3792219892848823E-2</v>
      </c>
    </row>
    <row r="47" spans="1:4" x14ac:dyDescent="0.35">
      <c r="A47" s="3" t="s">
        <v>54</v>
      </c>
      <c r="B47">
        <v>7258</v>
      </c>
      <c r="C47">
        <v>150603</v>
      </c>
      <c r="D47" s="5">
        <v>4.8192931083710151E-2</v>
      </c>
    </row>
    <row r="48" spans="1:4" x14ac:dyDescent="0.35">
      <c r="A48" s="3" t="s">
        <v>55</v>
      </c>
      <c r="B48">
        <v>16141</v>
      </c>
      <c r="C48">
        <v>502080</v>
      </c>
      <c r="D48" s="5">
        <v>3.2148263224984069E-2</v>
      </c>
    </row>
    <row r="49" spans="1:6" x14ac:dyDescent="0.35">
      <c r="A49" s="3" t="s">
        <v>56</v>
      </c>
      <c r="B49">
        <v>753</v>
      </c>
      <c r="C49">
        <v>27756</v>
      </c>
      <c r="D49" s="5">
        <v>2.7129269347168181E-2</v>
      </c>
    </row>
    <row r="50" spans="1:6" x14ac:dyDescent="0.35">
      <c r="A50" s="3" t="s">
        <v>57</v>
      </c>
      <c r="B50">
        <v>239</v>
      </c>
      <c r="C50">
        <v>5594</v>
      </c>
      <c r="D50" s="5">
        <v>4.2724347515194855E-2</v>
      </c>
    </row>
    <row r="51" spans="1:6" x14ac:dyDescent="0.35">
      <c r="A51" s="3" t="s">
        <v>58</v>
      </c>
      <c r="B51">
        <v>5549</v>
      </c>
      <c r="C51">
        <v>118522</v>
      </c>
      <c r="D51" s="5">
        <v>4.6818312212078772E-2</v>
      </c>
    </row>
    <row r="52" spans="1:6" x14ac:dyDescent="0.35">
      <c r="A52" s="3" t="s">
        <v>59</v>
      </c>
      <c r="B52">
        <v>5350</v>
      </c>
      <c r="C52">
        <v>94435</v>
      </c>
      <c r="D52" s="5">
        <v>5.6652724095939008E-2</v>
      </c>
    </row>
    <row r="53" spans="1:6" x14ac:dyDescent="0.35">
      <c r="A53" s="3" t="s">
        <v>60</v>
      </c>
      <c r="B53">
        <v>1805</v>
      </c>
      <c r="C53">
        <v>43190</v>
      </c>
      <c r="D53" s="5">
        <v>4.17920815003473E-2</v>
      </c>
    </row>
    <row r="54" spans="1:6" x14ac:dyDescent="0.35">
      <c r="A54" s="3" t="s">
        <v>61</v>
      </c>
      <c r="B54">
        <v>4093</v>
      </c>
      <c r="C54">
        <v>95935</v>
      </c>
      <c r="D54" s="5">
        <v>4.2664303955803409E-2</v>
      </c>
    </row>
    <row r="55" spans="1:6" x14ac:dyDescent="0.35">
      <c r="A55" s="3" t="s">
        <v>62</v>
      </c>
      <c r="B55">
        <v>66</v>
      </c>
      <c r="C55">
        <v>1660</v>
      </c>
      <c r="D55" s="5">
        <v>3.9759036144578312E-2</v>
      </c>
      <c r="F55" t="s">
        <v>72</v>
      </c>
    </row>
    <row r="56" spans="1:6" x14ac:dyDescent="0.35">
      <c r="A56" s="3" t="s">
        <v>64</v>
      </c>
      <c r="B56">
        <v>240856</v>
      </c>
      <c r="C56">
        <v>5982652</v>
      </c>
      <c r="D56" s="5">
        <v>4.0259069054994337E-2</v>
      </c>
      <c r="F56">
        <f>GETPIVOTDATA(" Discharged Dead",$A$3)*100/GETPIVOTDATA(" Total Discharges",$A$3)</f>
        <v>4.0259069054994336</v>
      </c>
    </row>
    <row r="69" spans="8:8" x14ac:dyDescent="0.35">
      <c r="H69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0BBD-85C0-42B5-A6F5-C8924713C9CD}">
  <sheetPr filterMode="1"/>
  <dimension ref="A1:B54"/>
  <sheetViews>
    <sheetView workbookViewId="0">
      <selection activeCell="T66" sqref="T66"/>
    </sheetView>
  </sheetViews>
  <sheetFormatPr defaultRowHeight="14.5" x14ac:dyDescent="0.35"/>
  <cols>
    <col min="1" max="1" width="17" bestFit="1" customWidth="1"/>
    <col min="2" max="2" width="12" style="13" bestFit="1" customWidth="1"/>
  </cols>
  <sheetData>
    <row r="1" spans="1:2" x14ac:dyDescent="0.35">
      <c r="A1" t="s">
        <v>77</v>
      </c>
      <c r="B1" s="13" t="s">
        <v>72</v>
      </c>
    </row>
    <row r="2" spans="1:2" x14ac:dyDescent="0.35">
      <c r="A2" t="s">
        <v>16</v>
      </c>
      <c r="B2" s="13">
        <v>4.6544491484467126E-2</v>
      </c>
    </row>
    <row r="3" spans="1:2" x14ac:dyDescent="0.35">
      <c r="A3" t="s">
        <v>58</v>
      </c>
      <c r="B3" s="13">
        <v>4.6818312212078772E-2</v>
      </c>
    </row>
    <row r="4" spans="1:2" x14ac:dyDescent="0.35">
      <c r="A4" t="s">
        <v>39</v>
      </c>
      <c r="B4" s="13">
        <v>4.7804933242815116E-2</v>
      </c>
    </row>
    <row r="5" spans="1:2" x14ac:dyDescent="0.35">
      <c r="A5" t="s">
        <v>54</v>
      </c>
      <c r="B5" s="13">
        <v>4.8192931083710151E-2</v>
      </c>
    </row>
    <row r="6" spans="1:2" x14ac:dyDescent="0.35">
      <c r="A6" t="s">
        <v>23</v>
      </c>
      <c r="B6" s="13">
        <v>5.0112098314373493E-2</v>
      </c>
    </row>
    <row r="7" spans="1:2" x14ac:dyDescent="0.35">
      <c r="A7" t="s">
        <v>49</v>
      </c>
      <c r="B7" s="13">
        <v>5.3339754534973659E-2</v>
      </c>
    </row>
    <row r="8" spans="1:2" x14ac:dyDescent="0.35">
      <c r="A8" t="s">
        <v>20</v>
      </c>
      <c r="B8" s="13">
        <v>5.4080629301868237E-2</v>
      </c>
    </row>
    <row r="9" spans="1:2" x14ac:dyDescent="0.35">
      <c r="A9" t="s">
        <v>38</v>
      </c>
      <c r="B9" s="13">
        <v>5.4681217690982192E-2</v>
      </c>
    </row>
    <row r="10" spans="1:2" x14ac:dyDescent="0.35">
      <c r="A10" t="s">
        <v>59</v>
      </c>
      <c r="B10" s="13">
        <v>5.6652724095939008E-2</v>
      </c>
    </row>
    <row r="11" spans="1:2" x14ac:dyDescent="0.35">
      <c r="A11" t="s">
        <v>63</v>
      </c>
      <c r="B11" s="13">
        <v>7.5976838553777418E-2</v>
      </c>
    </row>
    <row r="12" spans="1:2" hidden="1" x14ac:dyDescent="0.35">
      <c r="A12" t="s">
        <v>43</v>
      </c>
      <c r="B12" s="13">
        <v>4.5482664152944295E-2</v>
      </c>
    </row>
    <row r="13" spans="1:2" hidden="1" x14ac:dyDescent="0.35">
      <c r="A13" t="s">
        <v>41</v>
      </c>
      <c r="B13" s="13">
        <v>4.4529697883126669E-2</v>
      </c>
    </row>
    <row r="14" spans="1:2" hidden="1" x14ac:dyDescent="0.35">
      <c r="A14" t="s">
        <v>48</v>
      </c>
      <c r="B14" s="13">
        <v>4.430586951438148E-2</v>
      </c>
    </row>
    <row r="15" spans="1:2" hidden="1" x14ac:dyDescent="0.35">
      <c r="A15" t="s">
        <v>45</v>
      </c>
      <c r="B15" s="13">
        <v>4.4159515598684737E-2</v>
      </c>
    </row>
    <row r="16" spans="1:2" hidden="1" x14ac:dyDescent="0.35">
      <c r="A16" t="s">
        <v>50</v>
      </c>
      <c r="B16" s="13">
        <v>4.4120670080107276E-2</v>
      </c>
    </row>
    <row r="17" spans="1:2" hidden="1" x14ac:dyDescent="0.35">
      <c r="A17" t="s">
        <v>27</v>
      </c>
      <c r="B17" s="13">
        <v>4.3962922118565763E-2</v>
      </c>
    </row>
    <row r="18" spans="1:2" hidden="1" x14ac:dyDescent="0.35">
      <c r="A18" t="s">
        <v>53</v>
      </c>
      <c r="B18" s="13">
        <v>4.3792219892848823E-2</v>
      </c>
    </row>
    <row r="19" spans="1:2" hidden="1" x14ac:dyDescent="0.35">
      <c r="A19" t="s">
        <v>46</v>
      </c>
      <c r="B19" s="13">
        <v>4.372408594044478E-2</v>
      </c>
    </row>
    <row r="20" spans="1:2" hidden="1" x14ac:dyDescent="0.35">
      <c r="A20" t="s">
        <v>44</v>
      </c>
      <c r="B20" s="13">
        <v>4.328595398453626E-2</v>
      </c>
    </row>
    <row r="21" spans="1:2" hidden="1" x14ac:dyDescent="0.35">
      <c r="A21" t="s">
        <v>13</v>
      </c>
      <c r="B21" s="13">
        <v>4.3083900226757371E-2</v>
      </c>
    </row>
    <row r="22" spans="1:2" hidden="1" x14ac:dyDescent="0.35">
      <c r="A22" t="s">
        <v>32</v>
      </c>
      <c r="B22" s="13">
        <v>4.2841816664679941E-2</v>
      </c>
    </row>
    <row r="23" spans="1:2" hidden="1" x14ac:dyDescent="0.35">
      <c r="A23" t="s">
        <v>57</v>
      </c>
      <c r="B23" s="13">
        <v>4.2724347515194855E-2</v>
      </c>
    </row>
    <row r="24" spans="1:2" hidden="1" x14ac:dyDescent="0.35">
      <c r="A24" t="s">
        <v>61</v>
      </c>
      <c r="B24" s="13">
        <v>4.2664303955803409E-2</v>
      </c>
    </row>
    <row r="25" spans="1:2" hidden="1" x14ac:dyDescent="0.35">
      <c r="A25" t="s">
        <v>29</v>
      </c>
      <c r="B25" s="13">
        <v>4.2445763206537604E-2</v>
      </c>
    </row>
    <row r="26" spans="1:2" hidden="1" x14ac:dyDescent="0.35">
      <c r="A26" t="s">
        <v>37</v>
      </c>
      <c r="B26" s="13">
        <v>4.233972249934552E-2</v>
      </c>
    </row>
    <row r="27" spans="1:2" hidden="1" x14ac:dyDescent="0.35">
      <c r="A27" t="s">
        <v>26</v>
      </c>
      <c r="B27" s="13">
        <v>4.2264548911827682E-2</v>
      </c>
    </row>
    <row r="28" spans="1:2" hidden="1" x14ac:dyDescent="0.35">
      <c r="A28" t="s">
        <v>14</v>
      </c>
      <c r="B28" s="13">
        <v>4.20897329197246E-2</v>
      </c>
    </row>
    <row r="29" spans="1:2" hidden="1" x14ac:dyDescent="0.35">
      <c r="A29" t="s">
        <v>36</v>
      </c>
      <c r="B29" s="13">
        <v>4.182363833727093E-2</v>
      </c>
    </row>
    <row r="30" spans="1:2" hidden="1" x14ac:dyDescent="0.35">
      <c r="A30" t="s">
        <v>60</v>
      </c>
      <c r="B30" s="13">
        <v>4.17920815003473E-2</v>
      </c>
    </row>
    <row r="31" spans="1:2" hidden="1" x14ac:dyDescent="0.35">
      <c r="A31" t="s">
        <v>24</v>
      </c>
      <c r="B31" s="13">
        <v>4.1625712600747003E-2</v>
      </c>
    </row>
    <row r="32" spans="1:2" hidden="1" x14ac:dyDescent="0.35">
      <c r="A32" t="s">
        <v>42</v>
      </c>
      <c r="B32" s="13">
        <v>4.1366931500368728E-2</v>
      </c>
    </row>
    <row r="33" spans="1:2" hidden="1" x14ac:dyDescent="0.35">
      <c r="A33" t="s">
        <v>31</v>
      </c>
      <c r="B33" s="13">
        <v>4.0798226164079826E-2</v>
      </c>
    </row>
    <row r="34" spans="1:2" hidden="1" x14ac:dyDescent="0.35">
      <c r="A34" t="s">
        <v>64</v>
      </c>
      <c r="B34" s="13">
        <v>4.0259069054994337E-2</v>
      </c>
    </row>
    <row r="35" spans="1:2" hidden="1" x14ac:dyDescent="0.35">
      <c r="A35" t="s">
        <v>40</v>
      </c>
      <c r="B35" s="13">
        <v>4.014382990550306E-2</v>
      </c>
    </row>
    <row r="36" spans="1:2" hidden="1" x14ac:dyDescent="0.35">
      <c r="A36" t="s">
        <v>34</v>
      </c>
      <c r="B36" s="13">
        <v>4.0137947725072606E-2</v>
      </c>
    </row>
    <row r="37" spans="1:2" hidden="1" x14ac:dyDescent="0.35">
      <c r="A37" t="s">
        <v>18</v>
      </c>
      <c r="B37" s="13">
        <v>3.9847616928980589E-2</v>
      </c>
    </row>
    <row r="38" spans="1:2" hidden="1" x14ac:dyDescent="0.35">
      <c r="A38" t="s">
        <v>62</v>
      </c>
      <c r="B38" s="13">
        <v>3.9759036144578312E-2</v>
      </c>
    </row>
    <row r="39" spans="1:2" hidden="1" x14ac:dyDescent="0.35">
      <c r="A39" t="s">
        <v>30</v>
      </c>
      <c r="B39" s="13">
        <v>3.9637502270954229E-2</v>
      </c>
    </row>
    <row r="40" spans="1:2" hidden="1" x14ac:dyDescent="0.35">
      <c r="A40" t="s">
        <v>17</v>
      </c>
      <c r="B40" s="13">
        <v>3.9604470309522584E-2</v>
      </c>
    </row>
    <row r="41" spans="1:2" hidden="1" x14ac:dyDescent="0.35">
      <c r="A41" t="s">
        <v>19</v>
      </c>
      <c r="B41" s="13">
        <v>3.9070265310803577E-2</v>
      </c>
    </row>
    <row r="42" spans="1:2" hidden="1" x14ac:dyDescent="0.35">
      <c r="A42" t="s">
        <v>25</v>
      </c>
      <c r="B42" s="13">
        <v>3.8725290375178661E-2</v>
      </c>
    </row>
    <row r="43" spans="1:2" hidden="1" x14ac:dyDescent="0.35">
      <c r="A43" t="s">
        <v>28</v>
      </c>
      <c r="B43" s="13">
        <v>3.7796377847122982E-2</v>
      </c>
    </row>
    <row r="44" spans="1:2" hidden="1" x14ac:dyDescent="0.35">
      <c r="A44" t="s">
        <v>52</v>
      </c>
      <c r="B44" s="13">
        <v>3.7698731711007918E-2</v>
      </c>
    </row>
    <row r="45" spans="1:2" hidden="1" x14ac:dyDescent="0.35">
      <c r="A45" t="s">
        <v>47</v>
      </c>
      <c r="B45" s="13">
        <v>3.737103212121004E-2</v>
      </c>
    </row>
    <row r="46" spans="1:2" hidden="1" x14ac:dyDescent="0.35">
      <c r="A46" t="s">
        <v>12</v>
      </c>
      <c r="B46" s="13">
        <v>3.7170988055148665E-2</v>
      </c>
    </row>
    <row r="47" spans="1:2" hidden="1" x14ac:dyDescent="0.35">
      <c r="A47" t="s">
        <v>35</v>
      </c>
      <c r="B47" s="13">
        <v>3.6339845274442735E-2</v>
      </c>
    </row>
    <row r="48" spans="1:2" hidden="1" x14ac:dyDescent="0.35">
      <c r="A48" t="s">
        <v>22</v>
      </c>
      <c r="B48" s="13">
        <v>3.5994729653421625E-2</v>
      </c>
    </row>
    <row r="49" spans="1:2" hidden="1" x14ac:dyDescent="0.35">
      <c r="A49" t="s">
        <v>15</v>
      </c>
      <c r="B49" s="13">
        <v>3.4325768378373735E-2</v>
      </c>
    </row>
    <row r="50" spans="1:2" hidden="1" x14ac:dyDescent="0.35">
      <c r="A50" t="s">
        <v>55</v>
      </c>
      <c r="B50" s="13">
        <v>3.2148263224984069E-2</v>
      </c>
    </row>
    <row r="51" spans="1:2" hidden="1" x14ac:dyDescent="0.35">
      <c r="A51" t="s">
        <v>33</v>
      </c>
      <c r="B51" s="13">
        <v>2.9089818563502776E-2</v>
      </c>
    </row>
    <row r="52" spans="1:2" hidden="1" x14ac:dyDescent="0.35">
      <c r="A52" t="s">
        <v>56</v>
      </c>
      <c r="B52" s="13">
        <v>2.7129269347168181E-2</v>
      </c>
    </row>
    <row r="53" spans="1:2" hidden="1" x14ac:dyDescent="0.35">
      <c r="A53" t="s">
        <v>21</v>
      </c>
      <c r="B53" s="13">
        <v>2.631826683457876E-2</v>
      </c>
    </row>
    <row r="54" spans="1:2" hidden="1" x14ac:dyDescent="0.35">
      <c r="A54" t="s">
        <v>51</v>
      </c>
      <c r="B54" s="13">
        <v>1.6032219339348643E-2</v>
      </c>
    </row>
  </sheetData>
  <autoFilter ref="A1:B54" xr:uid="{978F0BBD-85C0-42B5-A6F5-C8924713C9CD}">
    <filterColumn colId="1">
      <top10 val="10" filterVal="4.6544491484467126E-2"/>
    </filterColumn>
    <sortState xmlns:xlrd2="http://schemas.microsoft.com/office/spreadsheetml/2017/richdata2" ref="A2:B11">
      <sortCondition ref="B2:B54"/>
    </sortState>
  </autoFilter>
  <sortState xmlns:xlrd2="http://schemas.microsoft.com/office/spreadsheetml/2017/richdata2" ref="A2:B54">
    <sortCondition descending="1" ref="B2:B54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4FD8-D20B-4176-8014-3B26EA6746C6}">
  <dimension ref="D1:U29"/>
  <sheetViews>
    <sheetView tabSelected="1" topLeftCell="A36" zoomScale="80" zoomScaleNormal="80" workbookViewId="0">
      <selection activeCell="AK50" sqref="AK50"/>
    </sheetView>
  </sheetViews>
  <sheetFormatPr defaultRowHeight="14.5" x14ac:dyDescent="0.35"/>
  <cols>
    <col min="1" max="16" width="8.7265625" style="29"/>
    <col min="17" max="17" width="11.90625" style="29" bestFit="1" customWidth="1"/>
    <col min="18" max="18" width="17.90625" style="29" bestFit="1" customWidth="1"/>
    <col min="19" max="19" width="17.08984375" style="29" customWidth="1"/>
    <col min="20" max="20" width="19.08984375" style="29" customWidth="1"/>
    <col min="21" max="21" width="18.54296875" style="29" customWidth="1"/>
    <col min="22" max="22" width="17" style="29" customWidth="1"/>
    <col min="23" max="16384" width="8.7265625" style="29"/>
  </cols>
  <sheetData>
    <row r="1" spans="4:21" s="33" customFormat="1" x14ac:dyDescent="0.35"/>
    <row r="2" spans="4:21" s="33" customFormat="1" ht="26" x14ac:dyDescent="0.6">
      <c r="G2" s="34" t="s">
        <v>132</v>
      </c>
    </row>
    <row r="3" spans="4:21" ht="14.5" customHeight="1" x14ac:dyDescent="0.35">
      <c r="D3" s="42">
        <f>KPI!L15</f>
        <v>188.51923076923077</v>
      </c>
      <c r="E3" s="43"/>
      <c r="F3" s="44"/>
      <c r="G3" s="42">
        <f>KPI!L16</f>
        <v>6.1277112558109685</v>
      </c>
      <c r="H3" s="43"/>
      <c r="I3" s="44"/>
      <c r="J3" s="51" t="str">
        <f>KPI!M17</f>
        <v>36,7M</v>
      </c>
      <c r="K3" s="51"/>
      <c r="L3" s="51"/>
      <c r="M3" s="51" t="str">
        <f>KPI!M19</f>
        <v>4,8M</v>
      </c>
      <c r="N3" s="51"/>
      <c r="O3" s="51"/>
      <c r="P3" s="52">
        <f>KPI!L20</f>
        <v>0.79587146302342171</v>
      </c>
      <c r="Q3" s="52"/>
      <c r="R3" s="52"/>
      <c r="S3" s="50">
        <f>KPI!L21</f>
        <v>4.0259069054994337E-2</v>
      </c>
      <c r="T3" s="51"/>
    </row>
    <row r="4" spans="4:21" ht="14.5" customHeight="1" x14ac:dyDescent="0.35">
      <c r="D4" s="45"/>
      <c r="E4" s="46"/>
      <c r="F4" s="47"/>
      <c r="G4" s="45"/>
      <c r="H4" s="46"/>
      <c r="I4" s="47"/>
      <c r="J4" s="51"/>
      <c r="K4" s="51"/>
      <c r="L4" s="51"/>
      <c r="M4" s="51"/>
      <c r="N4" s="51"/>
      <c r="O4" s="51"/>
      <c r="P4" s="52"/>
      <c r="Q4" s="52"/>
      <c r="R4" s="52"/>
      <c r="S4" s="51"/>
      <c r="T4" s="51"/>
    </row>
    <row r="5" spans="4:21" ht="18.5" x14ac:dyDescent="0.45">
      <c r="D5" s="38" t="s">
        <v>129</v>
      </c>
      <c r="E5" s="36"/>
      <c r="F5" s="36"/>
      <c r="G5" s="49" t="s">
        <v>112</v>
      </c>
      <c r="H5" s="49"/>
      <c r="I5" s="49"/>
      <c r="J5" s="48" t="s">
        <v>114</v>
      </c>
      <c r="K5" s="48"/>
      <c r="L5" s="48"/>
      <c r="M5" s="48" t="s">
        <v>117</v>
      </c>
      <c r="N5" s="48"/>
      <c r="O5" s="48"/>
      <c r="P5" s="48" t="s">
        <v>116</v>
      </c>
      <c r="Q5" s="48"/>
      <c r="R5" s="48"/>
      <c r="S5" s="49" t="s">
        <v>118</v>
      </c>
      <c r="T5" s="49"/>
    </row>
    <row r="6" spans="4:21" ht="18.5" x14ac:dyDescent="0.45">
      <c r="D6" s="37" t="s">
        <v>130</v>
      </c>
      <c r="E6" s="35"/>
      <c r="F6" s="35"/>
      <c r="G6" s="48" t="s">
        <v>113</v>
      </c>
      <c r="H6" s="48"/>
      <c r="I6" s="48"/>
      <c r="J6" s="37"/>
      <c r="K6" s="37"/>
      <c r="L6" s="37"/>
      <c r="M6" s="48" t="s">
        <v>115</v>
      </c>
      <c r="N6" s="48"/>
      <c r="O6" s="48"/>
      <c r="P6" s="48" t="s">
        <v>131</v>
      </c>
      <c r="Q6" s="48"/>
      <c r="R6" s="48"/>
      <c r="S6" s="37"/>
      <c r="T6" s="37"/>
    </row>
    <row r="13" spans="4:21" ht="18.5" x14ac:dyDescent="0.45">
      <c r="Q13" s="31" t="str">
        <f>'Discharges per Inpatient Day'!G4</f>
        <v>State</v>
      </c>
      <c r="R13" s="40" t="str">
        <f>'Discharges per Inpatient Day'!H4</f>
        <v>Efficiency Index</v>
      </c>
      <c r="T13" s="31" t="str">
        <f>'Discharges per Inpatient Day'!G16</f>
        <v>State</v>
      </c>
      <c r="U13" s="31" t="str">
        <f>'Discharges per Inpatient Day'!H16</f>
        <v>Efficiency Index</v>
      </c>
    </row>
    <row r="14" spans="4:21" ht="18.5" x14ac:dyDescent="0.45">
      <c r="Q14" s="30" t="str">
        <f>'Discharges per Inpatient Day'!G5</f>
        <v>Utah</v>
      </c>
      <c r="R14" s="32">
        <f>'Discharges per Inpatient Day'!H5</f>
        <v>0.22216816670720832</v>
      </c>
      <c r="T14" s="30" t="str">
        <f>'Discharges per Inpatient Day'!G17</f>
        <v>Dist. of Columbia</v>
      </c>
      <c r="U14" s="32">
        <f>'Discharges per Inpatient Day'!H17</f>
        <v>0.1140877027930202</v>
      </c>
    </row>
    <row r="15" spans="4:21" ht="18.5" x14ac:dyDescent="0.45">
      <c r="Q15" s="30" t="str">
        <f>'Discharges per Inpatient Day'!G6</f>
        <v>Kansas</v>
      </c>
      <c r="R15" s="32">
        <f>'Discharges per Inpatient Day'!H6</f>
        <v>0.18989848081215352</v>
      </c>
      <c r="T15" s="30" t="str">
        <f>'Discharges per Inpatient Day'!G18</f>
        <v>Hawaii</v>
      </c>
      <c r="U15" s="32">
        <f>'Discharges per Inpatient Day'!H18</f>
        <v>0.12706683395801202</v>
      </c>
    </row>
    <row r="16" spans="4:21" ht="18.5" x14ac:dyDescent="0.45">
      <c r="Q16" s="30" t="str">
        <f>'Discharges per Inpatient Day'!G7</f>
        <v>Wyoming</v>
      </c>
      <c r="R16" s="32">
        <f>'Discharges per Inpatient Day'!H7</f>
        <v>0.18011607480376243</v>
      </c>
      <c r="T16" s="30" t="str">
        <f>'Discharges per Inpatient Day'!G19</f>
        <v>Delaware</v>
      </c>
      <c r="U16" s="32">
        <f>'Discharges per Inpatient Day'!H19</f>
        <v>0.13096073040088879</v>
      </c>
    </row>
    <row r="17" spans="17:21" ht="18.5" x14ac:dyDescent="0.45">
      <c r="Q17" s="30" t="str">
        <f>'Discharges per Inpatient Day'!G8</f>
        <v>Colorado</v>
      </c>
      <c r="R17" s="32">
        <f>'Discharges per Inpatient Day'!H8</f>
        <v>0.17982653318567091</v>
      </c>
      <c r="T17" s="30" t="str">
        <f>'Discharges per Inpatient Day'!G20</f>
        <v>Maine</v>
      </c>
      <c r="U17" s="32">
        <f>'Discharges per Inpatient Day'!H20</f>
        <v>0.13440709669470549</v>
      </c>
    </row>
    <row r="18" spans="17:21" ht="18.5" x14ac:dyDescent="0.45">
      <c r="Q18" s="30" t="str">
        <f>'Discharges per Inpatient Day'!G9</f>
        <v>Oklahoma</v>
      </c>
      <c r="R18" s="32">
        <f>'Discharges per Inpatient Day'!H9</f>
        <v>0.17706093723264169</v>
      </c>
      <c r="T18" s="30" t="str">
        <f>'Discharges per Inpatient Day'!G21</f>
        <v>Washington</v>
      </c>
      <c r="U18" s="32">
        <f>'Discharges per Inpatient Day'!H21</f>
        <v>0.13500873585937914</v>
      </c>
    </row>
    <row r="24" spans="17:21" x14ac:dyDescent="0.35">
      <c r="S24" s="29" t="s">
        <v>92</v>
      </c>
    </row>
    <row r="29" spans="17:21" ht="18.5" x14ac:dyDescent="0.45">
      <c r="R29" s="30"/>
      <c r="S29" s="30"/>
    </row>
  </sheetData>
  <sheetProtection algorithmName="SHA-512" hashValue="R4jN1wmmG3fJ0oqz2jSn8r/XZzSD8khZoQnIWSnWItcGAhV5/YrnwywQQ/avvs1c9eXwQ/K+MJwdRLyxvS8F+Q==" saltValue="wU3HbZbBr9OfaV5HexeymA==" spinCount="100000" sheet="1" objects="1" scenarios="1" selectLockedCells="1" selectUnlockedCells="1"/>
  <mergeCells count="14">
    <mergeCell ref="D3:F4"/>
    <mergeCell ref="G6:I6"/>
    <mergeCell ref="G5:I5"/>
    <mergeCell ref="G3:I4"/>
    <mergeCell ref="S3:T4"/>
    <mergeCell ref="S5:T5"/>
    <mergeCell ref="J3:L4"/>
    <mergeCell ref="J5:L5"/>
    <mergeCell ref="M3:O4"/>
    <mergeCell ref="M5:O5"/>
    <mergeCell ref="M6:O6"/>
    <mergeCell ref="P3:R4"/>
    <mergeCell ref="P5:R5"/>
    <mergeCell ref="P6:R6"/>
  </mergeCells>
  <pageMargins left="0.25" right="0.25" top="0.75" bottom="0.75" header="0.3" footer="0.3"/>
  <pageSetup paperSize="8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3630-AF26-494F-82A3-4AD53154B8F7}">
  <dimension ref="A1:T54"/>
  <sheetViews>
    <sheetView topLeftCell="A20" workbookViewId="0">
      <selection activeCell="E1" sqref="E1:E1048576"/>
    </sheetView>
  </sheetViews>
  <sheetFormatPr defaultRowHeight="14.5" x14ac:dyDescent="0.35"/>
  <cols>
    <col min="1" max="1" width="18.08984375" bestFit="1" customWidth="1"/>
    <col min="2" max="2" width="50.90625" bestFit="1" customWidth="1"/>
    <col min="3" max="3" width="17.36328125" customWidth="1"/>
    <col min="5" max="5" width="39.1796875" bestFit="1" customWidth="1"/>
    <col min="12" max="13" width="9.81640625" bestFit="1" customWidth="1"/>
    <col min="14" max="15" width="19.81640625" bestFit="1" customWidth="1"/>
    <col min="16" max="17" width="9.81640625" customWidth="1"/>
    <col min="18" max="18" width="23.7265625" bestFit="1" customWidth="1"/>
  </cols>
  <sheetData>
    <row r="1" spans="1:20" x14ac:dyDescent="0.35">
      <c r="A1" s="1" t="s">
        <v>0</v>
      </c>
      <c r="B1" s="1" t="s">
        <v>8</v>
      </c>
      <c r="C1" s="1" t="s">
        <v>96</v>
      </c>
      <c r="D1" s="12" t="s">
        <v>79</v>
      </c>
      <c r="E1" s="12"/>
      <c r="F1" s="13" t="s">
        <v>72</v>
      </c>
      <c r="H1" t="s">
        <v>97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106</v>
      </c>
      <c r="P1" t="s">
        <v>107</v>
      </c>
      <c r="Q1" t="s">
        <v>107</v>
      </c>
    </row>
    <row r="2" spans="1:20" x14ac:dyDescent="0.35">
      <c r="A2" t="s">
        <v>12</v>
      </c>
      <c r="B2">
        <v>1486.96</v>
      </c>
      <c r="C2" t="str">
        <f>IF(B2 &gt; AVERAGE(B:B), "High", "Low")</f>
        <v>High</v>
      </c>
      <c r="D2" s="12">
        <v>6.6037812778423763</v>
      </c>
      <c r="E2" s="12" t="str">
        <f>IF(D2&gt;AVERAGE(D:D),"Long","Short")</f>
        <v>Long</v>
      </c>
      <c r="F2" s="13">
        <v>3.7170988055148665E-2</v>
      </c>
      <c r="H2" t="str">
        <f t="shared" ref="H2:H33" si="0">IF(C2="High",IF(E2="Short","Efficient / High Turnover","System Pressure"),
IF(E2="Short","Underused but Efficient","Inefficient"))</f>
        <v>System Pressure</v>
      </c>
      <c r="J2" t="e">
        <f t="shared" ref="J2:J33" si="1">IF($H2="Efficient / High Turnover",$B2,NA())</f>
        <v>#N/A</v>
      </c>
      <c r="K2" t="e">
        <f t="shared" ref="K2:K33" si="2">IF($H2="Efficient / High Turnover",$D2,NA())</f>
        <v>#N/A</v>
      </c>
      <c r="L2">
        <f t="shared" ref="L2:L33" si="3">IF($H2="System Pressure",$B2,NA())</f>
        <v>1486.96</v>
      </c>
      <c r="M2">
        <f t="shared" ref="M2:M33" si="4">IF($H2="System Pressure",$D2,NA())</f>
        <v>6.6037812778423763</v>
      </c>
      <c r="N2" t="e">
        <f t="shared" ref="N2:N33" si="5">IF($H2="Underused but Efficient",$B2,NA())</f>
        <v>#N/A</v>
      </c>
      <c r="O2" t="e">
        <f t="shared" ref="O2:O33" si="6">IF($H2="Underused but Efficient",$D2,NA())</f>
        <v>#N/A</v>
      </c>
      <c r="P2" t="e">
        <f t="shared" ref="P2:P33" si="7">IF($H2="Inefficient",$B2,NA())</f>
        <v>#N/A</v>
      </c>
      <c r="Q2" t="e">
        <f t="shared" ref="Q2:Q33" si="8">IF($H2="Inefficient",$D2,NA())</f>
        <v>#N/A</v>
      </c>
    </row>
    <row r="3" spans="1:20" x14ac:dyDescent="0.35">
      <c r="A3" t="s">
        <v>13</v>
      </c>
      <c r="B3">
        <v>1122.47</v>
      </c>
      <c r="C3" t="str">
        <f t="shared" ref="C3:C54" si="9">IF(B3 &gt; AVERAGE(B:B), "High", "Low")</f>
        <v>Low</v>
      </c>
      <c r="D3" s="12">
        <v>6.7006802721088432</v>
      </c>
      <c r="E3" s="12" t="str">
        <f t="shared" ref="E3:E54" si="10">IF(D3&gt;AVERAGE(D:D),"Long","Short")</f>
        <v>Long</v>
      </c>
      <c r="F3" s="13">
        <v>4.3083900226757371E-2</v>
      </c>
      <c r="H3" t="str">
        <f t="shared" si="0"/>
        <v>Inefficient</v>
      </c>
      <c r="J3" t="e">
        <f t="shared" si="1"/>
        <v>#N/A</v>
      </c>
      <c r="K3" t="e">
        <f t="shared" si="2"/>
        <v>#N/A</v>
      </c>
      <c r="L3" t="e">
        <f t="shared" si="3"/>
        <v>#N/A</v>
      </c>
      <c r="M3" t="e">
        <f t="shared" si="4"/>
        <v>#N/A</v>
      </c>
      <c r="N3" t="e">
        <f t="shared" si="5"/>
        <v>#N/A</v>
      </c>
      <c r="O3" t="e">
        <f t="shared" si="6"/>
        <v>#N/A</v>
      </c>
      <c r="P3">
        <f t="shared" si="7"/>
        <v>1122.47</v>
      </c>
      <c r="Q3">
        <f t="shared" si="8"/>
        <v>6.7006802721088432</v>
      </c>
    </row>
    <row r="4" spans="1:20" ht="16" x14ac:dyDescent="0.4">
      <c r="A4" t="s">
        <v>14</v>
      </c>
      <c r="B4">
        <v>1140.79</v>
      </c>
      <c r="C4" t="str">
        <f t="shared" si="9"/>
        <v>Low</v>
      </c>
      <c r="D4" s="12">
        <v>5.8389574033441782</v>
      </c>
      <c r="E4" s="12" t="str">
        <f t="shared" si="10"/>
        <v>Short</v>
      </c>
      <c r="F4" s="13">
        <v>4.20897329197246E-2</v>
      </c>
      <c r="H4" t="str">
        <f t="shared" si="0"/>
        <v>Underused but Efficient</v>
      </c>
      <c r="J4" t="e">
        <f t="shared" si="1"/>
        <v>#N/A</v>
      </c>
      <c r="K4" t="e">
        <f t="shared" si="2"/>
        <v>#N/A</v>
      </c>
      <c r="L4" t="e">
        <f t="shared" si="3"/>
        <v>#N/A</v>
      </c>
      <c r="M4" t="e">
        <f t="shared" si="4"/>
        <v>#N/A</v>
      </c>
      <c r="N4">
        <f t="shared" si="5"/>
        <v>1140.79</v>
      </c>
      <c r="O4">
        <f t="shared" si="6"/>
        <v>5.8389574033441782</v>
      </c>
      <c r="P4" t="e">
        <f t="shared" si="7"/>
        <v>#N/A</v>
      </c>
      <c r="Q4" t="e">
        <f t="shared" si="8"/>
        <v>#N/A</v>
      </c>
      <c r="R4" s="22" t="s">
        <v>98</v>
      </c>
      <c r="S4">
        <f>COUNTIF(H:H,"System Pressure")</f>
        <v>15</v>
      </c>
      <c r="T4" s="13">
        <f>AVERAGEIF(H:H,"System Pressure",F:F)</f>
        <v>4.5574803882629952E-2</v>
      </c>
    </row>
    <row r="5" spans="1:20" ht="16" x14ac:dyDescent="0.4">
      <c r="A5" t="s">
        <v>15</v>
      </c>
      <c r="B5">
        <v>1354.42</v>
      </c>
      <c r="C5" t="str">
        <f t="shared" si="9"/>
        <v>High</v>
      </c>
      <c r="D5" s="12">
        <v>5.7532427371278372</v>
      </c>
      <c r="E5" s="12" t="str">
        <f t="shared" si="10"/>
        <v>Short</v>
      </c>
      <c r="F5" s="13">
        <v>3.4325768378373735E-2</v>
      </c>
      <c r="H5" t="str">
        <f t="shared" si="0"/>
        <v>Efficient / High Turnover</v>
      </c>
      <c r="J5">
        <f t="shared" si="1"/>
        <v>1354.42</v>
      </c>
      <c r="K5">
        <f t="shared" si="2"/>
        <v>5.7532427371278372</v>
      </c>
      <c r="L5" t="e">
        <f t="shared" si="3"/>
        <v>#N/A</v>
      </c>
      <c r="M5" t="e">
        <f t="shared" si="4"/>
        <v>#N/A</v>
      </c>
      <c r="N5" t="e">
        <f t="shared" si="5"/>
        <v>#N/A</v>
      </c>
      <c r="O5" t="e">
        <f t="shared" si="6"/>
        <v>#N/A</v>
      </c>
      <c r="P5" t="e">
        <f t="shared" si="7"/>
        <v>#N/A</v>
      </c>
      <c r="Q5" t="e">
        <f t="shared" si="8"/>
        <v>#N/A</v>
      </c>
      <c r="R5" s="22" t="s">
        <v>99</v>
      </c>
      <c r="S5">
        <f>COUNTIF(H:H,"Efficient / High Turnover")</f>
        <v>16</v>
      </c>
      <c r="T5" s="13">
        <f>AVERAGEIF(H:H,"Efficient / High Turnover",F:F)</f>
        <v>3.815552952641614E-2</v>
      </c>
    </row>
    <row r="6" spans="1:20" ht="16" x14ac:dyDescent="0.4">
      <c r="A6" t="s">
        <v>16</v>
      </c>
      <c r="B6">
        <v>917.92</v>
      </c>
      <c r="C6" t="str">
        <f t="shared" si="9"/>
        <v>Low</v>
      </c>
      <c r="D6" s="12">
        <v>5.6851282646097934</v>
      </c>
      <c r="E6" s="12" t="str">
        <f t="shared" si="10"/>
        <v>Short</v>
      </c>
      <c r="F6" s="13">
        <v>4.6544491484467126E-2</v>
      </c>
      <c r="H6" t="str">
        <f t="shared" si="0"/>
        <v>Underused but Efficient</v>
      </c>
      <c r="J6" t="e">
        <f t="shared" si="1"/>
        <v>#N/A</v>
      </c>
      <c r="K6" t="e">
        <f t="shared" si="2"/>
        <v>#N/A</v>
      </c>
      <c r="L6" t="e">
        <f t="shared" si="3"/>
        <v>#N/A</v>
      </c>
      <c r="M6" t="e">
        <f t="shared" si="4"/>
        <v>#N/A</v>
      </c>
      <c r="N6">
        <f t="shared" si="5"/>
        <v>917.92</v>
      </c>
      <c r="O6">
        <f t="shared" si="6"/>
        <v>5.6851282646097934</v>
      </c>
      <c r="P6" t="e">
        <f t="shared" si="7"/>
        <v>#N/A</v>
      </c>
      <c r="Q6" t="e">
        <f t="shared" si="8"/>
        <v>#N/A</v>
      </c>
      <c r="R6" s="22" t="s">
        <v>100</v>
      </c>
      <c r="S6">
        <f>COUNTIF(H:H, "Underused but Efficient")</f>
        <v>15</v>
      </c>
      <c r="T6" s="13">
        <f>AVERAGEIF(H:H,"Underused but Efficient",F:F)</f>
        <v>4.1056300494817427E-2</v>
      </c>
    </row>
    <row r="7" spans="1:20" ht="16" x14ac:dyDescent="0.4">
      <c r="A7" t="s">
        <v>17</v>
      </c>
      <c r="B7">
        <v>911.99</v>
      </c>
      <c r="C7" t="str">
        <f t="shared" si="9"/>
        <v>Low</v>
      </c>
      <c r="D7" s="12">
        <v>5.5674924035638877</v>
      </c>
      <c r="E7" s="12" t="str">
        <f t="shared" si="10"/>
        <v>Short</v>
      </c>
      <c r="F7" s="13">
        <v>3.9604470309522584E-2</v>
      </c>
      <c r="H7" t="str">
        <f t="shared" si="0"/>
        <v>Underused but Efficient</v>
      </c>
      <c r="J7" t="e">
        <f t="shared" si="1"/>
        <v>#N/A</v>
      </c>
      <c r="K7" t="e">
        <f t="shared" si="2"/>
        <v>#N/A</v>
      </c>
      <c r="L7" t="e">
        <f t="shared" si="3"/>
        <v>#N/A</v>
      </c>
      <c r="M7" t="e">
        <f t="shared" si="4"/>
        <v>#N/A</v>
      </c>
      <c r="N7">
        <f t="shared" si="5"/>
        <v>911.99</v>
      </c>
      <c r="O7">
        <f t="shared" si="6"/>
        <v>5.5674924035638877</v>
      </c>
      <c r="P7" t="e">
        <f t="shared" si="7"/>
        <v>#N/A</v>
      </c>
      <c r="Q7" t="e">
        <f t="shared" si="8"/>
        <v>#N/A</v>
      </c>
      <c r="R7" s="22" t="s">
        <v>101</v>
      </c>
      <c r="S7">
        <f>COUNTIF(H:H, "Inefficient")</f>
        <v>7</v>
      </c>
      <c r="T7" s="13">
        <f>AVERAGEIF(H:H,"Inefficient",F:F)</f>
        <v>4.4867650853548477E-2</v>
      </c>
    </row>
    <row r="8" spans="1:20" x14ac:dyDescent="0.35">
      <c r="A8" t="s">
        <v>18</v>
      </c>
      <c r="B8">
        <v>1209.8699999999999</v>
      </c>
      <c r="C8" t="str">
        <f t="shared" si="9"/>
        <v>High</v>
      </c>
      <c r="D8" s="12">
        <v>6.1300956565263336</v>
      </c>
      <c r="E8" s="12" t="str">
        <f t="shared" si="10"/>
        <v>Short</v>
      </c>
      <c r="F8" s="13">
        <v>3.9847616928980589E-2</v>
      </c>
      <c r="H8" t="str">
        <f t="shared" si="0"/>
        <v>Efficient / High Turnover</v>
      </c>
      <c r="J8">
        <f t="shared" si="1"/>
        <v>1209.8699999999999</v>
      </c>
      <c r="K8">
        <f t="shared" si="2"/>
        <v>6.1300956565263336</v>
      </c>
      <c r="L8" t="e">
        <f t="shared" si="3"/>
        <v>#N/A</v>
      </c>
      <c r="M8" t="e">
        <f t="shared" si="4"/>
        <v>#N/A</v>
      </c>
      <c r="N8" t="e">
        <f t="shared" si="5"/>
        <v>#N/A</v>
      </c>
      <c r="O8" t="e">
        <f t="shared" si="6"/>
        <v>#N/A</v>
      </c>
      <c r="P8" t="e">
        <f t="shared" si="7"/>
        <v>#N/A</v>
      </c>
      <c r="Q8" t="e">
        <f t="shared" si="8"/>
        <v>#N/A</v>
      </c>
    </row>
    <row r="9" spans="1:20" x14ac:dyDescent="0.35">
      <c r="A9" t="s">
        <v>19</v>
      </c>
      <c r="B9">
        <v>1611.17</v>
      </c>
      <c r="C9" t="str">
        <f t="shared" si="9"/>
        <v>High</v>
      </c>
      <c r="D9" s="12">
        <v>7.6350638428014372</v>
      </c>
      <c r="E9" s="12" t="str">
        <f t="shared" si="10"/>
        <v>Long</v>
      </c>
      <c r="F9" s="13">
        <v>3.9070265310803577E-2</v>
      </c>
      <c r="H9" t="str">
        <f t="shared" si="0"/>
        <v>System Pressure</v>
      </c>
      <c r="J9" t="e">
        <f t="shared" si="1"/>
        <v>#N/A</v>
      </c>
      <c r="K9" t="e">
        <f t="shared" si="2"/>
        <v>#N/A</v>
      </c>
      <c r="L9">
        <f t="shared" si="3"/>
        <v>1611.17</v>
      </c>
      <c r="M9">
        <f t="shared" si="4"/>
        <v>7.6350638428014372</v>
      </c>
      <c r="N9" t="e">
        <f t="shared" si="5"/>
        <v>#N/A</v>
      </c>
      <c r="O9" t="e">
        <f t="shared" si="6"/>
        <v>#N/A</v>
      </c>
      <c r="P9" t="e">
        <f t="shared" si="7"/>
        <v>#N/A</v>
      </c>
      <c r="Q9" t="e">
        <f t="shared" si="8"/>
        <v>#N/A</v>
      </c>
    </row>
    <row r="10" spans="1:20" x14ac:dyDescent="0.35">
      <c r="A10" t="s">
        <v>20</v>
      </c>
      <c r="B10">
        <v>2349.0700000000002</v>
      </c>
      <c r="C10" t="str">
        <f t="shared" si="9"/>
        <v>High</v>
      </c>
      <c r="D10" s="12">
        <v>8.7541789577187803</v>
      </c>
      <c r="E10" s="12" t="str">
        <f t="shared" si="10"/>
        <v>Long</v>
      </c>
      <c r="F10" s="13">
        <v>5.4080629301868237E-2</v>
      </c>
      <c r="H10" t="str">
        <f t="shared" si="0"/>
        <v>System Pressure</v>
      </c>
      <c r="J10" t="e">
        <f t="shared" si="1"/>
        <v>#N/A</v>
      </c>
      <c r="K10" t="e">
        <f t="shared" si="2"/>
        <v>#N/A</v>
      </c>
      <c r="L10">
        <f t="shared" si="3"/>
        <v>2349.0700000000002</v>
      </c>
      <c r="M10">
        <f t="shared" si="4"/>
        <v>8.7541789577187803</v>
      </c>
      <c r="N10" t="e">
        <f t="shared" si="5"/>
        <v>#N/A</v>
      </c>
      <c r="O10" t="e">
        <f t="shared" si="6"/>
        <v>#N/A</v>
      </c>
      <c r="P10" t="e">
        <f t="shared" si="7"/>
        <v>#N/A</v>
      </c>
      <c r="Q10" t="e">
        <f t="shared" si="8"/>
        <v>#N/A</v>
      </c>
    </row>
    <row r="11" spans="1:20" x14ac:dyDescent="0.35">
      <c r="A11" t="s">
        <v>21</v>
      </c>
      <c r="B11">
        <v>1279.98</v>
      </c>
      <c r="C11" t="str">
        <f t="shared" si="9"/>
        <v>High</v>
      </c>
      <c r="D11" s="12">
        <v>5.91175023490523</v>
      </c>
      <c r="E11" s="12" t="str">
        <f t="shared" si="10"/>
        <v>Short</v>
      </c>
      <c r="F11" s="13">
        <v>2.631826683457876E-2</v>
      </c>
      <c r="H11" t="str">
        <f t="shared" si="0"/>
        <v>Efficient / High Turnover</v>
      </c>
      <c r="J11">
        <f t="shared" si="1"/>
        <v>1279.98</v>
      </c>
      <c r="K11">
        <f t="shared" si="2"/>
        <v>5.91175023490523</v>
      </c>
      <c r="L11" t="e">
        <f t="shared" si="3"/>
        <v>#N/A</v>
      </c>
      <c r="M11" t="e">
        <f t="shared" si="4"/>
        <v>#N/A</v>
      </c>
      <c r="N11" t="e">
        <f t="shared" si="5"/>
        <v>#N/A</v>
      </c>
      <c r="O11" t="e">
        <f t="shared" si="6"/>
        <v>#N/A</v>
      </c>
      <c r="P11" t="e">
        <f t="shared" si="7"/>
        <v>#N/A</v>
      </c>
      <c r="Q11" t="e">
        <f t="shared" si="8"/>
        <v>#N/A</v>
      </c>
    </row>
    <row r="12" spans="1:20" x14ac:dyDescent="0.35">
      <c r="A12" t="s">
        <v>22</v>
      </c>
      <c r="B12">
        <v>1494.29</v>
      </c>
      <c r="C12" t="str">
        <f t="shared" si="9"/>
        <v>High</v>
      </c>
      <c r="D12" s="12">
        <v>6.7146483781135826</v>
      </c>
      <c r="E12" s="12" t="str">
        <f t="shared" si="10"/>
        <v>Long</v>
      </c>
      <c r="F12" s="13">
        <v>3.5994729653421625E-2</v>
      </c>
      <c r="H12" t="str">
        <f t="shared" si="0"/>
        <v>System Pressure</v>
      </c>
      <c r="J12" t="e">
        <f t="shared" si="1"/>
        <v>#N/A</v>
      </c>
      <c r="K12" t="e">
        <f t="shared" si="2"/>
        <v>#N/A</v>
      </c>
      <c r="L12">
        <f t="shared" si="3"/>
        <v>1494.29</v>
      </c>
      <c r="M12">
        <f t="shared" si="4"/>
        <v>6.7146483781135826</v>
      </c>
      <c r="N12" t="e">
        <f t="shared" si="5"/>
        <v>#N/A</v>
      </c>
      <c r="O12" t="e">
        <f t="shared" si="6"/>
        <v>#N/A</v>
      </c>
      <c r="P12" t="e">
        <f t="shared" si="7"/>
        <v>#N/A</v>
      </c>
      <c r="Q12" t="e">
        <f t="shared" si="8"/>
        <v>#N/A</v>
      </c>
    </row>
    <row r="13" spans="1:20" x14ac:dyDescent="0.35">
      <c r="A13" t="s">
        <v>23</v>
      </c>
      <c r="B13">
        <v>1251.31</v>
      </c>
      <c r="C13" t="str">
        <f t="shared" si="9"/>
        <v>High</v>
      </c>
      <c r="D13" s="12">
        <v>7.862824877522212</v>
      </c>
      <c r="E13" s="12" t="str">
        <f t="shared" si="10"/>
        <v>Long</v>
      </c>
      <c r="F13" s="13">
        <v>5.0112098314373493E-2</v>
      </c>
      <c r="H13" t="str">
        <f t="shared" si="0"/>
        <v>System Pressure</v>
      </c>
      <c r="J13" t="e">
        <f t="shared" si="1"/>
        <v>#N/A</v>
      </c>
      <c r="K13" t="e">
        <f t="shared" si="2"/>
        <v>#N/A</v>
      </c>
      <c r="L13">
        <f t="shared" si="3"/>
        <v>1251.31</v>
      </c>
      <c r="M13">
        <f t="shared" si="4"/>
        <v>7.862824877522212</v>
      </c>
      <c r="N13" t="e">
        <f t="shared" si="5"/>
        <v>#N/A</v>
      </c>
      <c r="O13" t="e">
        <f t="shared" si="6"/>
        <v>#N/A</v>
      </c>
      <c r="P13" t="e">
        <f t="shared" si="7"/>
        <v>#N/A</v>
      </c>
      <c r="Q13" t="e">
        <f t="shared" si="8"/>
        <v>#N/A</v>
      </c>
    </row>
    <row r="14" spans="1:20" x14ac:dyDescent="0.35">
      <c r="A14" t="s">
        <v>24</v>
      </c>
      <c r="B14">
        <v>730.54</v>
      </c>
      <c r="C14" t="str">
        <f t="shared" si="9"/>
        <v>Low</v>
      </c>
      <c r="D14" s="12">
        <v>5.8106447808138393</v>
      </c>
      <c r="E14" s="12" t="str">
        <f t="shared" si="10"/>
        <v>Short</v>
      </c>
      <c r="F14" s="13">
        <v>4.1625712600747003E-2</v>
      </c>
      <c r="H14" t="str">
        <f t="shared" si="0"/>
        <v>Underused but Efficient</v>
      </c>
      <c r="J14" t="e">
        <f t="shared" si="1"/>
        <v>#N/A</v>
      </c>
      <c r="K14" t="e">
        <f t="shared" si="2"/>
        <v>#N/A</v>
      </c>
      <c r="L14" t="e">
        <f t="shared" si="3"/>
        <v>#N/A</v>
      </c>
      <c r="M14" t="e">
        <f t="shared" si="4"/>
        <v>#N/A</v>
      </c>
      <c r="N14">
        <f t="shared" si="5"/>
        <v>730.54</v>
      </c>
      <c r="O14">
        <f t="shared" si="6"/>
        <v>5.8106447808138393</v>
      </c>
      <c r="P14" t="e">
        <f t="shared" si="7"/>
        <v>#N/A</v>
      </c>
      <c r="Q14" t="e">
        <f t="shared" si="8"/>
        <v>#N/A</v>
      </c>
    </row>
    <row r="15" spans="1:20" x14ac:dyDescent="0.35">
      <c r="A15" t="s">
        <v>25</v>
      </c>
      <c r="B15">
        <v>1330.57</v>
      </c>
      <c r="C15" t="str">
        <f t="shared" si="9"/>
        <v>High</v>
      </c>
      <c r="D15" s="12">
        <v>6.0444579749330503</v>
      </c>
      <c r="E15" s="12" t="str">
        <f t="shared" si="10"/>
        <v>Short</v>
      </c>
      <c r="F15" s="13">
        <v>3.8725290375178661E-2</v>
      </c>
      <c r="H15" t="str">
        <f t="shared" si="0"/>
        <v>Efficient / High Turnover</v>
      </c>
      <c r="J15">
        <f t="shared" si="1"/>
        <v>1330.57</v>
      </c>
      <c r="K15">
        <f t="shared" si="2"/>
        <v>6.0444579749330503</v>
      </c>
      <c r="L15" t="e">
        <f t="shared" si="3"/>
        <v>#N/A</v>
      </c>
      <c r="M15" t="e">
        <f t="shared" si="4"/>
        <v>#N/A</v>
      </c>
      <c r="N15" t="e">
        <f t="shared" si="5"/>
        <v>#N/A</v>
      </c>
      <c r="O15" t="e">
        <f t="shared" si="6"/>
        <v>#N/A</v>
      </c>
      <c r="P15" t="e">
        <f t="shared" si="7"/>
        <v>#N/A</v>
      </c>
      <c r="Q15" t="e">
        <f t="shared" si="8"/>
        <v>#N/A</v>
      </c>
    </row>
    <row r="16" spans="1:20" x14ac:dyDescent="0.35">
      <c r="A16" t="s">
        <v>26</v>
      </c>
      <c r="B16">
        <v>1288.3800000000001</v>
      </c>
      <c r="C16" t="str">
        <f t="shared" si="9"/>
        <v>High</v>
      </c>
      <c r="D16" s="12">
        <v>5.9544597488095619</v>
      </c>
      <c r="E16" s="12" t="str">
        <f t="shared" si="10"/>
        <v>Short</v>
      </c>
      <c r="F16" s="13">
        <v>4.2264548911827682E-2</v>
      </c>
      <c r="H16" t="str">
        <f t="shared" si="0"/>
        <v>Efficient / High Turnover</v>
      </c>
      <c r="J16">
        <f t="shared" si="1"/>
        <v>1288.3800000000001</v>
      </c>
      <c r="K16">
        <f t="shared" si="2"/>
        <v>5.9544597488095619</v>
      </c>
      <c r="L16" t="e">
        <f t="shared" si="3"/>
        <v>#N/A</v>
      </c>
      <c r="M16" t="e">
        <f t="shared" si="4"/>
        <v>#N/A</v>
      </c>
      <c r="N16" t="e">
        <f t="shared" si="5"/>
        <v>#N/A</v>
      </c>
      <c r="O16" t="e">
        <f t="shared" si="6"/>
        <v>#N/A</v>
      </c>
      <c r="P16" t="e">
        <f t="shared" si="7"/>
        <v>#N/A</v>
      </c>
      <c r="Q16" t="e">
        <f t="shared" si="8"/>
        <v>#N/A</v>
      </c>
    </row>
    <row r="17" spans="1:17" x14ac:dyDescent="0.35">
      <c r="A17" t="s">
        <v>27</v>
      </c>
      <c r="B17">
        <v>931.84</v>
      </c>
      <c r="C17" t="str">
        <f t="shared" si="9"/>
        <v>Low</v>
      </c>
      <c r="D17" s="12">
        <v>5.7471610384191232</v>
      </c>
      <c r="E17" s="12" t="str">
        <f t="shared" si="10"/>
        <v>Short</v>
      </c>
      <c r="F17" s="13">
        <v>4.3962922118565763E-2</v>
      </c>
      <c r="H17" t="str">
        <f t="shared" si="0"/>
        <v>Underused but Efficient</v>
      </c>
      <c r="J17" t="e">
        <f t="shared" si="1"/>
        <v>#N/A</v>
      </c>
      <c r="K17" t="e">
        <f t="shared" si="2"/>
        <v>#N/A</v>
      </c>
      <c r="L17" t="e">
        <f t="shared" si="3"/>
        <v>#N/A</v>
      </c>
      <c r="M17" t="e">
        <f t="shared" si="4"/>
        <v>#N/A</v>
      </c>
      <c r="N17">
        <f t="shared" si="5"/>
        <v>931.84</v>
      </c>
      <c r="O17">
        <f t="shared" si="6"/>
        <v>5.7471610384191232</v>
      </c>
      <c r="P17" t="e">
        <f t="shared" si="7"/>
        <v>#N/A</v>
      </c>
      <c r="Q17" t="e">
        <f t="shared" si="8"/>
        <v>#N/A</v>
      </c>
    </row>
    <row r="18" spans="1:17" x14ac:dyDescent="0.35">
      <c r="A18" t="s">
        <v>28</v>
      </c>
      <c r="B18">
        <v>1111.1199999999999</v>
      </c>
      <c r="C18" t="str">
        <f t="shared" si="9"/>
        <v>Low</v>
      </c>
      <c r="D18" s="12">
        <v>5.2660328385196422</v>
      </c>
      <c r="E18" s="12" t="str">
        <f t="shared" si="10"/>
        <v>Short</v>
      </c>
      <c r="F18" s="13">
        <v>3.7796377847122982E-2</v>
      </c>
      <c r="H18" t="str">
        <f t="shared" si="0"/>
        <v>Underused but Efficient</v>
      </c>
      <c r="J18" t="e">
        <f t="shared" si="1"/>
        <v>#N/A</v>
      </c>
      <c r="K18" t="e">
        <f t="shared" si="2"/>
        <v>#N/A</v>
      </c>
      <c r="L18" t="e">
        <f t="shared" si="3"/>
        <v>#N/A</v>
      </c>
      <c r="M18" t="e">
        <f t="shared" si="4"/>
        <v>#N/A</v>
      </c>
      <c r="N18">
        <f t="shared" si="5"/>
        <v>1111.1199999999999</v>
      </c>
      <c r="O18">
        <f t="shared" si="6"/>
        <v>5.2660328385196422</v>
      </c>
      <c r="P18" t="e">
        <f t="shared" si="7"/>
        <v>#N/A</v>
      </c>
      <c r="Q18" t="e">
        <f t="shared" si="8"/>
        <v>#N/A</v>
      </c>
    </row>
    <row r="19" spans="1:17" x14ac:dyDescent="0.35">
      <c r="A19" t="s">
        <v>29</v>
      </c>
      <c r="B19">
        <v>1489.13</v>
      </c>
      <c r="C19" t="str">
        <f t="shared" si="9"/>
        <v>High</v>
      </c>
      <c r="D19" s="12">
        <v>6.6651133378733336</v>
      </c>
      <c r="E19" s="12" t="str">
        <f t="shared" si="10"/>
        <v>Long</v>
      </c>
      <c r="F19" s="13">
        <v>4.2445763206537604E-2</v>
      </c>
      <c r="H19" t="str">
        <f t="shared" si="0"/>
        <v>System Pressure</v>
      </c>
      <c r="J19" t="e">
        <f t="shared" si="1"/>
        <v>#N/A</v>
      </c>
      <c r="K19" t="e">
        <f t="shared" si="2"/>
        <v>#N/A</v>
      </c>
      <c r="L19">
        <f t="shared" si="3"/>
        <v>1489.13</v>
      </c>
      <c r="M19">
        <f t="shared" si="4"/>
        <v>6.6651133378733336</v>
      </c>
      <c r="N19" t="e">
        <f t="shared" si="5"/>
        <v>#N/A</v>
      </c>
      <c r="O19" t="e">
        <f t="shared" si="6"/>
        <v>#N/A</v>
      </c>
      <c r="P19" t="e">
        <f t="shared" si="7"/>
        <v>#N/A</v>
      </c>
      <c r="Q19" t="e">
        <f t="shared" si="8"/>
        <v>#N/A</v>
      </c>
    </row>
    <row r="20" spans="1:17" x14ac:dyDescent="0.35">
      <c r="A20" t="s">
        <v>30</v>
      </c>
      <c r="B20">
        <v>1212.17</v>
      </c>
      <c r="C20" t="str">
        <f t="shared" si="9"/>
        <v>High</v>
      </c>
      <c r="D20" s="12">
        <v>5.9189296057623464</v>
      </c>
      <c r="E20" s="12" t="str">
        <f t="shared" si="10"/>
        <v>Short</v>
      </c>
      <c r="F20" s="13">
        <v>3.9637502270954229E-2</v>
      </c>
      <c r="H20" t="str">
        <f t="shared" si="0"/>
        <v>Efficient / High Turnover</v>
      </c>
      <c r="J20">
        <f t="shared" si="1"/>
        <v>1212.17</v>
      </c>
      <c r="K20">
        <f t="shared" si="2"/>
        <v>5.9189296057623464</v>
      </c>
      <c r="L20" t="e">
        <f t="shared" si="3"/>
        <v>#N/A</v>
      </c>
      <c r="M20" t="e">
        <f t="shared" si="4"/>
        <v>#N/A</v>
      </c>
      <c r="N20" t="e">
        <f t="shared" si="5"/>
        <v>#N/A</v>
      </c>
      <c r="O20" t="e">
        <f t="shared" si="6"/>
        <v>#N/A</v>
      </c>
      <c r="P20" t="e">
        <f t="shared" si="7"/>
        <v>#N/A</v>
      </c>
      <c r="Q20" t="e">
        <f t="shared" si="8"/>
        <v>#N/A</v>
      </c>
    </row>
    <row r="21" spans="1:17" x14ac:dyDescent="0.35">
      <c r="A21" t="s">
        <v>31</v>
      </c>
      <c r="B21">
        <v>892.81</v>
      </c>
      <c r="C21" t="str">
        <f t="shared" si="9"/>
        <v>Low</v>
      </c>
      <c r="D21" s="12">
        <v>7.4372949002217297</v>
      </c>
      <c r="E21" s="12" t="str">
        <f t="shared" si="10"/>
        <v>Long</v>
      </c>
      <c r="F21" s="13">
        <v>4.0798226164079826E-2</v>
      </c>
      <c r="H21" t="str">
        <f t="shared" si="0"/>
        <v>Inefficient</v>
      </c>
      <c r="J21" t="e">
        <f t="shared" si="1"/>
        <v>#N/A</v>
      </c>
      <c r="K21" t="e">
        <f t="shared" si="2"/>
        <v>#N/A</v>
      </c>
      <c r="L21" t="e">
        <f t="shared" si="3"/>
        <v>#N/A</v>
      </c>
      <c r="M21" t="e">
        <f t="shared" si="4"/>
        <v>#N/A</v>
      </c>
      <c r="N21" t="e">
        <f t="shared" si="5"/>
        <v>#N/A</v>
      </c>
      <c r="O21" t="e">
        <f t="shared" si="6"/>
        <v>#N/A</v>
      </c>
      <c r="P21">
        <f t="shared" si="7"/>
        <v>892.81</v>
      </c>
      <c r="Q21">
        <f t="shared" si="8"/>
        <v>7.4372949002217297</v>
      </c>
    </row>
    <row r="22" spans="1:17" x14ac:dyDescent="0.35">
      <c r="A22" t="s">
        <v>32</v>
      </c>
      <c r="B22">
        <v>1429.92</v>
      </c>
      <c r="C22" t="str">
        <f t="shared" si="9"/>
        <v>High</v>
      </c>
      <c r="D22" s="12">
        <v>7.1131243294790796</v>
      </c>
      <c r="E22" s="12" t="str">
        <f t="shared" si="10"/>
        <v>Long</v>
      </c>
      <c r="F22" s="13">
        <v>4.2841816664679941E-2</v>
      </c>
      <c r="H22" t="str">
        <f t="shared" si="0"/>
        <v>System Pressure</v>
      </c>
      <c r="J22" t="e">
        <f t="shared" si="1"/>
        <v>#N/A</v>
      </c>
      <c r="K22" t="e">
        <f t="shared" si="2"/>
        <v>#N/A</v>
      </c>
      <c r="L22">
        <f t="shared" si="3"/>
        <v>1429.92</v>
      </c>
      <c r="M22">
        <f t="shared" si="4"/>
        <v>7.1131243294790796</v>
      </c>
      <c r="N22" t="e">
        <f t="shared" si="5"/>
        <v>#N/A</v>
      </c>
      <c r="O22" t="e">
        <f t="shared" si="6"/>
        <v>#N/A</v>
      </c>
      <c r="P22" t="e">
        <f t="shared" si="7"/>
        <v>#N/A</v>
      </c>
      <c r="Q22" t="e">
        <f t="shared" si="8"/>
        <v>#N/A</v>
      </c>
    </row>
    <row r="23" spans="1:17" x14ac:dyDescent="0.35">
      <c r="A23" t="s">
        <v>33</v>
      </c>
      <c r="B23">
        <v>1490.51</v>
      </c>
      <c r="C23" t="str">
        <f t="shared" si="9"/>
        <v>High</v>
      </c>
      <c r="D23" s="12">
        <v>6.5428799920027991</v>
      </c>
      <c r="E23" s="12" t="str">
        <f t="shared" si="10"/>
        <v>Long</v>
      </c>
      <c r="F23" s="13">
        <v>2.9089818563502776E-2</v>
      </c>
      <c r="H23" t="str">
        <f t="shared" si="0"/>
        <v>System Pressure</v>
      </c>
      <c r="J23" t="e">
        <f t="shared" si="1"/>
        <v>#N/A</v>
      </c>
      <c r="K23" t="e">
        <f t="shared" si="2"/>
        <v>#N/A</v>
      </c>
      <c r="L23">
        <f t="shared" si="3"/>
        <v>1490.51</v>
      </c>
      <c r="M23">
        <f t="shared" si="4"/>
        <v>6.5428799920027991</v>
      </c>
      <c r="N23" t="e">
        <f t="shared" si="5"/>
        <v>#N/A</v>
      </c>
      <c r="O23" t="e">
        <f t="shared" si="6"/>
        <v>#N/A</v>
      </c>
      <c r="P23" t="e">
        <f t="shared" si="7"/>
        <v>#N/A</v>
      </c>
      <c r="Q23" t="e">
        <f t="shared" si="8"/>
        <v>#N/A</v>
      </c>
    </row>
    <row r="24" spans="1:17" x14ac:dyDescent="0.35">
      <c r="A24" t="s">
        <v>34</v>
      </c>
      <c r="B24">
        <v>1266.3399999999999</v>
      </c>
      <c r="C24" t="str">
        <f t="shared" si="9"/>
        <v>High</v>
      </c>
      <c r="D24" s="12">
        <v>6.136540012907389</v>
      </c>
      <c r="E24" s="12" t="str">
        <f t="shared" si="10"/>
        <v>Short</v>
      </c>
      <c r="F24" s="13">
        <v>4.0137947725072606E-2</v>
      </c>
      <c r="H24" t="str">
        <f t="shared" si="0"/>
        <v>Efficient / High Turnover</v>
      </c>
      <c r="J24">
        <f t="shared" si="1"/>
        <v>1266.3399999999999</v>
      </c>
      <c r="K24">
        <f t="shared" si="2"/>
        <v>6.136540012907389</v>
      </c>
      <c r="L24" t="e">
        <f t="shared" si="3"/>
        <v>#N/A</v>
      </c>
      <c r="M24" t="e">
        <f t="shared" si="4"/>
        <v>#N/A</v>
      </c>
      <c r="N24" t="e">
        <f t="shared" si="5"/>
        <v>#N/A</v>
      </c>
      <c r="O24" t="e">
        <f t="shared" si="6"/>
        <v>#N/A</v>
      </c>
      <c r="P24" t="e">
        <f t="shared" si="7"/>
        <v>#N/A</v>
      </c>
      <c r="Q24" t="e">
        <f t="shared" si="8"/>
        <v>#N/A</v>
      </c>
    </row>
    <row r="25" spans="1:17" x14ac:dyDescent="0.35">
      <c r="A25" t="s">
        <v>35</v>
      </c>
      <c r="B25">
        <v>841.4</v>
      </c>
      <c r="C25" t="str">
        <f t="shared" si="9"/>
        <v>Low</v>
      </c>
      <c r="D25" s="12">
        <v>5.8139620302564223</v>
      </c>
      <c r="E25" s="12" t="str">
        <f t="shared" si="10"/>
        <v>Short</v>
      </c>
      <c r="F25" s="13">
        <v>3.6339845274442735E-2</v>
      </c>
      <c r="H25" t="str">
        <f t="shared" si="0"/>
        <v>Underused but Efficient</v>
      </c>
      <c r="J25" t="e">
        <f t="shared" si="1"/>
        <v>#N/A</v>
      </c>
      <c r="K25" t="e">
        <f t="shared" si="2"/>
        <v>#N/A</v>
      </c>
      <c r="L25" t="e">
        <f t="shared" si="3"/>
        <v>#N/A</v>
      </c>
      <c r="M25" t="e">
        <f t="shared" si="4"/>
        <v>#N/A</v>
      </c>
      <c r="N25">
        <f t="shared" si="5"/>
        <v>841.4</v>
      </c>
      <c r="O25">
        <f t="shared" si="6"/>
        <v>5.8139620302564223</v>
      </c>
      <c r="P25" t="e">
        <f t="shared" si="7"/>
        <v>#N/A</v>
      </c>
      <c r="Q25" t="e">
        <f t="shared" si="8"/>
        <v>#N/A</v>
      </c>
    </row>
    <row r="26" spans="1:17" x14ac:dyDescent="0.35">
      <c r="A26" t="s">
        <v>36</v>
      </c>
      <c r="B26">
        <v>1416.74</v>
      </c>
      <c r="C26" t="str">
        <f t="shared" si="9"/>
        <v>High</v>
      </c>
      <c r="D26" s="12">
        <v>6.5483259902517936</v>
      </c>
      <c r="E26" s="12" t="str">
        <f t="shared" si="10"/>
        <v>Long</v>
      </c>
      <c r="F26" s="13">
        <v>4.182363833727093E-2</v>
      </c>
      <c r="H26" t="str">
        <f t="shared" si="0"/>
        <v>System Pressure</v>
      </c>
      <c r="J26" t="e">
        <f t="shared" si="1"/>
        <v>#N/A</v>
      </c>
      <c r="K26" t="e">
        <f t="shared" si="2"/>
        <v>#N/A</v>
      </c>
      <c r="L26">
        <f t="shared" si="3"/>
        <v>1416.74</v>
      </c>
      <c r="M26">
        <f t="shared" si="4"/>
        <v>6.5483259902517936</v>
      </c>
      <c r="N26" t="e">
        <f t="shared" si="5"/>
        <v>#N/A</v>
      </c>
      <c r="O26" t="e">
        <f t="shared" si="6"/>
        <v>#N/A</v>
      </c>
      <c r="P26" t="e">
        <f t="shared" si="7"/>
        <v>#N/A</v>
      </c>
      <c r="Q26" t="e">
        <f t="shared" si="8"/>
        <v>#N/A</v>
      </c>
    </row>
    <row r="27" spans="1:17" x14ac:dyDescent="0.35">
      <c r="A27" t="s">
        <v>37</v>
      </c>
      <c r="B27">
        <v>1336.39</v>
      </c>
      <c r="C27" t="str">
        <f t="shared" si="9"/>
        <v>High</v>
      </c>
      <c r="D27" s="12">
        <v>5.7652282198778773</v>
      </c>
      <c r="E27" s="12" t="str">
        <f t="shared" si="10"/>
        <v>Short</v>
      </c>
      <c r="F27" s="13">
        <v>4.233972249934552E-2</v>
      </c>
      <c r="H27" t="str">
        <f t="shared" si="0"/>
        <v>Efficient / High Turnover</v>
      </c>
      <c r="J27">
        <f t="shared" si="1"/>
        <v>1336.39</v>
      </c>
      <c r="K27">
        <f t="shared" si="2"/>
        <v>5.7652282198778773</v>
      </c>
      <c r="L27" t="e">
        <f t="shared" si="3"/>
        <v>#N/A</v>
      </c>
      <c r="M27" t="e">
        <f t="shared" si="4"/>
        <v>#N/A</v>
      </c>
      <c r="N27" t="e">
        <f t="shared" si="5"/>
        <v>#N/A</v>
      </c>
      <c r="O27" t="e">
        <f t="shared" si="6"/>
        <v>#N/A</v>
      </c>
      <c r="P27" t="e">
        <f t="shared" si="7"/>
        <v>#N/A</v>
      </c>
      <c r="Q27" t="e">
        <f t="shared" si="8"/>
        <v>#N/A</v>
      </c>
    </row>
    <row r="28" spans="1:17" x14ac:dyDescent="0.35">
      <c r="A28" t="s">
        <v>38</v>
      </c>
      <c r="B28">
        <v>853.78</v>
      </c>
      <c r="C28" t="str">
        <f t="shared" si="9"/>
        <v>Low</v>
      </c>
      <c r="D28" s="12">
        <v>6.2218265364732916</v>
      </c>
      <c r="E28" s="12" t="str">
        <f t="shared" si="10"/>
        <v>Short</v>
      </c>
      <c r="F28" s="13">
        <v>5.4681217690982192E-2</v>
      </c>
      <c r="H28" t="str">
        <f t="shared" si="0"/>
        <v>Underused but Efficient</v>
      </c>
      <c r="J28" t="e">
        <f t="shared" si="1"/>
        <v>#N/A</v>
      </c>
      <c r="K28" t="e">
        <f t="shared" si="2"/>
        <v>#N/A</v>
      </c>
      <c r="L28" t="e">
        <f t="shared" si="3"/>
        <v>#N/A</v>
      </c>
      <c r="M28" t="e">
        <f t="shared" si="4"/>
        <v>#N/A</v>
      </c>
      <c r="N28">
        <f t="shared" si="5"/>
        <v>853.78</v>
      </c>
      <c r="O28">
        <f t="shared" si="6"/>
        <v>6.2218265364732916</v>
      </c>
      <c r="P28" t="e">
        <f t="shared" si="7"/>
        <v>#N/A</v>
      </c>
      <c r="Q28" t="e">
        <f t="shared" si="8"/>
        <v>#N/A</v>
      </c>
    </row>
    <row r="29" spans="1:17" x14ac:dyDescent="0.35">
      <c r="A29" t="s">
        <v>39</v>
      </c>
      <c r="B29">
        <v>1077.56</v>
      </c>
      <c r="C29" t="str">
        <f t="shared" si="9"/>
        <v>Low</v>
      </c>
      <c r="D29" s="12">
        <v>6.4015048653541529</v>
      </c>
      <c r="E29" s="12" t="str">
        <f t="shared" si="10"/>
        <v>Long</v>
      </c>
      <c r="F29" s="13">
        <v>4.7804933242815116E-2</v>
      </c>
      <c r="H29" t="str">
        <f t="shared" si="0"/>
        <v>Inefficient</v>
      </c>
      <c r="J29" t="e">
        <f t="shared" si="1"/>
        <v>#N/A</v>
      </c>
      <c r="K29" t="e">
        <f t="shared" si="2"/>
        <v>#N/A</v>
      </c>
      <c r="L29" t="e">
        <f t="shared" si="3"/>
        <v>#N/A</v>
      </c>
      <c r="M29" t="e">
        <f t="shared" si="4"/>
        <v>#N/A</v>
      </c>
      <c r="N29" t="e">
        <f t="shared" si="5"/>
        <v>#N/A</v>
      </c>
      <c r="O29" t="e">
        <f t="shared" si="6"/>
        <v>#N/A</v>
      </c>
      <c r="P29">
        <f t="shared" si="7"/>
        <v>1077.56</v>
      </c>
      <c r="Q29">
        <f t="shared" si="8"/>
        <v>6.4015048653541529</v>
      </c>
    </row>
    <row r="30" spans="1:17" x14ac:dyDescent="0.35">
      <c r="A30" t="s">
        <v>40</v>
      </c>
      <c r="B30">
        <v>1337.44</v>
      </c>
      <c r="C30" t="str">
        <f t="shared" si="9"/>
        <v>High</v>
      </c>
      <c r="D30" s="12">
        <v>6.1920685102834909</v>
      </c>
      <c r="E30" s="12" t="str">
        <f t="shared" si="10"/>
        <v>Short</v>
      </c>
      <c r="F30" s="13">
        <v>4.014382990550306E-2</v>
      </c>
      <c r="H30" t="str">
        <f t="shared" si="0"/>
        <v>Efficient / High Turnover</v>
      </c>
      <c r="J30">
        <f t="shared" si="1"/>
        <v>1337.44</v>
      </c>
      <c r="K30">
        <f t="shared" si="2"/>
        <v>6.1920685102834909</v>
      </c>
      <c r="L30" t="e">
        <f t="shared" si="3"/>
        <v>#N/A</v>
      </c>
      <c r="M30" t="e">
        <f t="shared" si="4"/>
        <v>#N/A</v>
      </c>
      <c r="N30" t="e">
        <f t="shared" si="5"/>
        <v>#N/A</v>
      </c>
      <c r="O30" t="e">
        <f t="shared" si="6"/>
        <v>#N/A</v>
      </c>
      <c r="P30" t="e">
        <f t="shared" si="7"/>
        <v>#N/A</v>
      </c>
      <c r="Q30" t="e">
        <f t="shared" si="8"/>
        <v>#N/A</v>
      </c>
    </row>
    <row r="31" spans="1:17" x14ac:dyDescent="0.35">
      <c r="A31" t="s">
        <v>41</v>
      </c>
      <c r="B31">
        <v>1041.23</v>
      </c>
      <c r="C31" t="str">
        <f t="shared" si="9"/>
        <v>Low</v>
      </c>
      <c r="D31" s="12">
        <v>6.8183873398643557</v>
      </c>
      <c r="E31" s="12" t="str">
        <f t="shared" si="10"/>
        <v>Long</v>
      </c>
      <c r="F31" s="13">
        <v>4.4529697883126669E-2</v>
      </c>
      <c r="H31" t="str">
        <f t="shared" si="0"/>
        <v>Inefficient</v>
      </c>
      <c r="J31" t="e">
        <f t="shared" si="1"/>
        <v>#N/A</v>
      </c>
      <c r="K31" t="e">
        <f t="shared" si="2"/>
        <v>#N/A</v>
      </c>
      <c r="L31" t="e">
        <f t="shared" si="3"/>
        <v>#N/A</v>
      </c>
      <c r="M31" t="e">
        <f t="shared" si="4"/>
        <v>#N/A</v>
      </c>
      <c r="N31" t="e">
        <f t="shared" si="5"/>
        <v>#N/A</v>
      </c>
      <c r="O31" t="e">
        <f t="shared" si="6"/>
        <v>#N/A</v>
      </c>
      <c r="P31">
        <f t="shared" si="7"/>
        <v>1041.23</v>
      </c>
      <c r="Q31">
        <f t="shared" si="8"/>
        <v>6.8183873398643557</v>
      </c>
    </row>
    <row r="32" spans="1:17" x14ac:dyDescent="0.35">
      <c r="A32" t="s">
        <v>42</v>
      </c>
      <c r="B32">
        <v>1417.59</v>
      </c>
      <c r="C32" t="str">
        <f t="shared" si="9"/>
        <v>High</v>
      </c>
      <c r="D32" s="12">
        <v>6.1713534347215075</v>
      </c>
      <c r="E32" s="12" t="str">
        <f t="shared" si="10"/>
        <v>Short</v>
      </c>
      <c r="F32" s="13">
        <v>4.1366931500368728E-2</v>
      </c>
      <c r="H32" t="str">
        <f t="shared" si="0"/>
        <v>Efficient / High Turnover</v>
      </c>
      <c r="J32">
        <f t="shared" si="1"/>
        <v>1417.59</v>
      </c>
      <c r="K32">
        <f t="shared" si="2"/>
        <v>6.1713534347215075</v>
      </c>
      <c r="L32" t="e">
        <f t="shared" si="3"/>
        <v>#N/A</v>
      </c>
      <c r="M32" t="e">
        <f t="shared" si="4"/>
        <v>#N/A</v>
      </c>
      <c r="N32" t="e">
        <f t="shared" si="5"/>
        <v>#N/A</v>
      </c>
      <c r="O32" t="e">
        <f t="shared" si="6"/>
        <v>#N/A</v>
      </c>
      <c r="P32" t="e">
        <f t="shared" si="7"/>
        <v>#N/A</v>
      </c>
      <c r="Q32" t="e">
        <f t="shared" si="8"/>
        <v>#N/A</v>
      </c>
    </row>
    <row r="33" spans="1:17" x14ac:dyDescent="0.35">
      <c r="A33" t="s">
        <v>43</v>
      </c>
      <c r="B33">
        <v>985.64</v>
      </c>
      <c r="C33" t="str">
        <f t="shared" si="9"/>
        <v>Low</v>
      </c>
      <c r="D33" s="12">
        <v>5.9471823725218727</v>
      </c>
      <c r="E33" s="12" t="str">
        <f t="shared" si="10"/>
        <v>Short</v>
      </c>
      <c r="F33" s="13">
        <v>4.5482664152944295E-2</v>
      </c>
      <c r="H33" t="str">
        <f t="shared" si="0"/>
        <v>Underused but Efficient</v>
      </c>
      <c r="J33" t="e">
        <f t="shared" si="1"/>
        <v>#N/A</v>
      </c>
      <c r="K33" t="e">
        <f t="shared" si="2"/>
        <v>#N/A</v>
      </c>
      <c r="L33" t="e">
        <f t="shared" si="3"/>
        <v>#N/A</v>
      </c>
      <c r="M33" t="e">
        <f t="shared" si="4"/>
        <v>#N/A</v>
      </c>
      <c r="N33">
        <f t="shared" si="5"/>
        <v>985.64</v>
      </c>
      <c r="O33">
        <f t="shared" si="6"/>
        <v>5.9471823725218727</v>
      </c>
      <c r="P33" t="e">
        <f t="shared" si="7"/>
        <v>#N/A</v>
      </c>
      <c r="Q33" t="e">
        <f t="shared" si="8"/>
        <v>#N/A</v>
      </c>
    </row>
    <row r="34" spans="1:17" x14ac:dyDescent="0.35">
      <c r="A34" t="s">
        <v>44</v>
      </c>
      <c r="B34">
        <v>1431.68</v>
      </c>
      <c r="C34" t="str">
        <f t="shared" si="9"/>
        <v>High</v>
      </c>
      <c r="D34" s="12">
        <v>6.7752512271051275</v>
      </c>
      <c r="E34" s="12" t="str">
        <f t="shared" si="10"/>
        <v>Long</v>
      </c>
      <c r="F34" s="13">
        <v>4.328595398453626E-2</v>
      </c>
      <c r="H34" t="str">
        <f t="shared" ref="H34:H54" si="11">IF(C34="High",IF(E34="Short","Efficient / High Turnover","System Pressure"),
IF(E34="Short","Underused but Efficient","Inefficient"))</f>
        <v>System Pressure</v>
      </c>
      <c r="J34" t="e">
        <f t="shared" ref="J34:J54" si="12">IF($H34="Efficient / High Turnover",$B34,NA())</f>
        <v>#N/A</v>
      </c>
      <c r="K34" t="e">
        <f t="shared" ref="K34:K54" si="13">IF($H34="Efficient / High Turnover",$D34,NA())</f>
        <v>#N/A</v>
      </c>
      <c r="L34">
        <f t="shared" ref="L34:L54" si="14">IF($H34="System Pressure",$B34,NA())</f>
        <v>1431.68</v>
      </c>
      <c r="M34">
        <f t="shared" ref="M34:M54" si="15">IF($H34="System Pressure",$D34,NA())</f>
        <v>6.7752512271051275</v>
      </c>
      <c r="N34" t="e">
        <f t="shared" ref="N34:N54" si="16">IF($H34="Underused but Efficient",$B34,NA())</f>
        <v>#N/A</v>
      </c>
      <c r="O34" t="e">
        <f t="shared" ref="O34:O54" si="17">IF($H34="Underused but Efficient",$D34,NA())</f>
        <v>#N/A</v>
      </c>
      <c r="P34" t="e">
        <f t="shared" ref="P34:P54" si="18">IF($H34="Inefficient",$B34,NA())</f>
        <v>#N/A</v>
      </c>
      <c r="Q34" t="e">
        <f t="shared" ref="Q34:Q54" si="19">IF($H34="Inefficient",$D34,NA())</f>
        <v>#N/A</v>
      </c>
    </row>
    <row r="35" spans="1:17" x14ac:dyDescent="0.35">
      <c r="A35" t="s">
        <v>45</v>
      </c>
      <c r="B35">
        <v>1235.02</v>
      </c>
      <c r="C35" t="str">
        <f t="shared" si="9"/>
        <v>High</v>
      </c>
      <c r="D35" s="12">
        <v>6.3972351431550241</v>
      </c>
      <c r="E35" s="12" t="str">
        <f t="shared" si="10"/>
        <v>Long</v>
      </c>
      <c r="F35" s="13">
        <v>4.4159515598684737E-2</v>
      </c>
      <c r="H35" t="str">
        <f t="shared" si="11"/>
        <v>System Pressure</v>
      </c>
      <c r="J35" t="e">
        <f t="shared" si="12"/>
        <v>#N/A</v>
      </c>
      <c r="K35" t="e">
        <f t="shared" si="13"/>
        <v>#N/A</v>
      </c>
      <c r="L35">
        <f t="shared" si="14"/>
        <v>1235.02</v>
      </c>
      <c r="M35">
        <f t="shared" si="15"/>
        <v>6.3972351431550241</v>
      </c>
      <c r="N35" t="e">
        <f t="shared" si="16"/>
        <v>#N/A</v>
      </c>
      <c r="O35" t="e">
        <f t="shared" si="17"/>
        <v>#N/A</v>
      </c>
      <c r="P35" t="e">
        <f t="shared" si="18"/>
        <v>#N/A</v>
      </c>
      <c r="Q35" t="e">
        <f t="shared" si="19"/>
        <v>#N/A</v>
      </c>
    </row>
    <row r="36" spans="1:17" x14ac:dyDescent="0.35">
      <c r="A36" t="s">
        <v>46</v>
      </c>
      <c r="B36">
        <v>426.31</v>
      </c>
      <c r="C36" t="str">
        <f t="shared" si="9"/>
        <v>Low</v>
      </c>
      <c r="D36" s="12">
        <v>6.0652091971353181</v>
      </c>
      <c r="E36" s="12" t="str">
        <f t="shared" si="10"/>
        <v>Short</v>
      </c>
      <c r="F36" s="13">
        <v>4.372408594044478E-2</v>
      </c>
      <c r="H36" t="str">
        <f t="shared" si="11"/>
        <v>Underused but Efficient</v>
      </c>
      <c r="J36" t="e">
        <f t="shared" si="12"/>
        <v>#N/A</v>
      </c>
      <c r="K36" t="e">
        <f t="shared" si="13"/>
        <v>#N/A</v>
      </c>
      <c r="L36" t="e">
        <f t="shared" si="14"/>
        <v>#N/A</v>
      </c>
      <c r="M36" t="e">
        <f t="shared" si="15"/>
        <v>#N/A</v>
      </c>
      <c r="N36">
        <f t="shared" si="16"/>
        <v>426.31</v>
      </c>
      <c r="O36">
        <f t="shared" si="17"/>
        <v>6.0652091971353181</v>
      </c>
      <c r="P36" t="e">
        <f t="shared" si="18"/>
        <v>#N/A</v>
      </c>
      <c r="Q36" t="e">
        <f t="shared" si="19"/>
        <v>#N/A</v>
      </c>
    </row>
    <row r="37" spans="1:17" x14ac:dyDescent="0.35">
      <c r="A37" t="s">
        <v>47</v>
      </c>
      <c r="B37">
        <v>1314.22</v>
      </c>
      <c r="C37" t="str">
        <f t="shared" si="9"/>
        <v>High</v>
      </c>
      <c r="D37" s="12">
        <v>5.6776430464782877</v>
      </c>
      <c r="E37" s="12" t="str">
        <f t="shared" si="10"/>
        <v>Short</v>
      </c>
      <c r="F37" s="13">
        <v>3.737103212121004E-2</v>
      </c>
      <c r="H37" t="str">
        <f t="shared" si="11"/>
        <v>Efficient / High Turnover</v>
      </c>
      <c r="J37">
        <f t="shared" si="12"/>
        <v>1314.22</v>
      </c>
      <c r="K37">
        <f t="shared" si="13"/>
        <v>5.6776430464782877</v>
      </c>
      <c r="L37" t="e">
        <f t="shared" si="14"/>
        <v>#N/A</v>
      </c>
      <c r="M37" t="e">
        <f t="shared" si="15"/>
        <v>#N/A</v>
      </c>
      <c r="N37" t="e">
        <f t="shared" si="16"/>
        <v>#N/A</v>
      </c>
      <c r="O37" t="e">
        <f t="shared" si="17"/>
        <v>#N/A</v>
      </c>
      <c r="P37" t="e">
        <f t="shared" si="18"/>
        <v>#N/A</v>
      </c>
      <c r="Q37" t="e">
        <f t="shared" si="19"/>
        <v>#N/A</v>
      </c>
    </row>
    <row r="38" spans="1:17" x14ac:dyDescent="0.35">
      <c r="A38" t="s">
        <v>48</v>
      </c>
      <c r="B38">
        <v>1344.17</v>
      </c>
      <c r="C38" t="str">
        <f t="shared" si="9"/>
        <v>High</v>
      </c>
      <c r="D38" s="12">
        <v>5.647034063449996</v>
      </c>
      <c r="E38" s="12" t="str">
        <f t="shared" si="10"/>
        <v>Short</v>
      </c>
      <c r="F38" s="13">
        <v>4.430586951438148E-2</v>
      </c>
      <c r="H38" t="str">
        <f t="shared" si="11"/>
        <v>Efficient / High Turnover</v>
      </c>
      <c r="J38">
        <f t="shared" si="12"/>
        <v>1344.17</v>
      </c>
      <c r="K38">
        <f t="shared" si="13"/>
        <v>5.647034063449996</v>
      </c>
      <c r="L38" t="e">
        <f t="shared" si="14"/>
        <v>#N/A</v>
      </c>
      <c r="M38" t="e">
        <f t="shared" si="15"/>
        <v>#N/A</v>
      </c>
      <c r="N38" t="e">
        <f t="shared" si="16"/>
        <v>#N/A</v>
      </c>
      <c r="O38" t="e">
        <f t="shared" si="17"/>
        <v>#N/A</v>
      </c>
      <c r="P38" t="e">
        <f t="shared" si="18"/>
        <v>#N/A</v>
      </c>
      <c r="Q38" t="e">
        <f t="shared" si="19"/>
        <v>#N/A</v>
      </c>
    </row>
    <row r="39" spans="1:17" x14ac:dyDescent="0.35">
      <c r="A39" t="s">
        <v>49</v>
      </c>
      <c r="B39">
        <v>941.94</v>
      </c>
      <c r="C39" t="str">
        <f t="shared" si="9"/>
        <v>Low</v>
      </c>
      <c r="D39" s="12">
        <v>6.4642382849554165</v>
      </c>
      <c r="E39" s="12" t="str">
        <f t="shared" si="10"/>
        <v>Long</v>
      </c>
      <c r="F39" s="13">
        <v>5.3339754534973659E-2</v>
      </c>
      <c r="H39" t="str">
        <f t="shared" si="11"/>
        <v>Inefficient</v>
      </c>
      <c r="J39" t="e">
        <f t="shared" si="12"/>
        <v>#N/A</v>
      </c>
      <c r="K39" t="e">
        <f t="shared" si="13"/>
        <v>#N/A</v>
      </c>
      <c r="L39" t="e">
        <f t="shared" si="14"/>
        <v>#N/A</v>
      </c>
      <c r="M39" t="e">
        <f t="shared" si="15"/>
        <v>#N/A</v>
      </c>
      <c r="N39" t="e">
        <f t="shared" si="16"/>
        <v>#N/A</v>
      </c>
      <c r="O39" t="e">
        <f t="shared" si="17"/>
        <v>#N/A</v>
      </c>
      <c r="P39">
        <f t="shared" si="18"/>
        <v>941.94</v>
      </c>
      <c r="Q39">
        <f t="shared" si="19"/>
        <v>6.4642382849554165</v>
      </c>
    </row>
    <row r="40" spans="1:17" x14ac:dyDescent="0.35">
      <c r="A40" t="s">
        <v>50</v>
      </c>
      <c r="B40">
        <v>1296.3</v>
      </c>
      <c r="C40" t="str">
        <f t="shared" si="9"/>
        <v>High</v>
      </c>
      <c r="D40" s="12">
        <v>5.7169079161672478</v>
      </c>
      <c r="E40" s="12" t="str">
        <f t="shared" si="10"/>
        <v>Short</v>
      </c>
      <c r="F40" s="13">
        <v>4.4120670080107276E-2</v>
      </c>
      <c r="H40" t="str">
        <f t="shared" si="11"/>
        <v>Efficient / High Turnover</v>
      </c>
      <c r="J40">
        <f t="shared" si="12"/>
        <v>1296.3</v>
      </c>
      <c r="K40">
        <f t="shared" si="13"/>
        <v>5.7169079161672478</v>
      </c>
      <c r="L40" t="e">
        <f t="shared" si="14"/>
        <v>#N/A</v>
      </c>
      <c r="M40" t="e">
        <f t="shared" si="15"/>
        <v>#N/A</v>
      </c>
      <c r="N40" t="e">
        <f t="shared" si="16"/>
        <v>#N/A</v>
      </c>
      <c r="O40" t="e">
        <f t="shared" si="17"/>
        <v>#N/A</v>
      </c>
      <c r="P40" t="e">
        <f t="shared" si="18"/>
        <v>#N/A</v>
      </c>
      <c r="Q40" t="e">
        <f t="shared" si="19"/>
        <v>#N/A</v>
      </c>
    </row>
    <row r="41" spans="1:17" x14ac:dyDescent="0.35">
      <c r="A41" t="s">
        <v>51</v>
      </c>
      <c r="B41">
        <v>1206.06</v>
      </c>
      <c r="C41" t="str">
        <f t="shared" si="9"/>
        <v>High</v>
      </c>
      <c r="D41" s="12">
        <v>6.924105229562759</v>
      </c>
      <c r="E41" s="12" t="str">
        <f t="shared" si="10"/>
        <v>Long</v>
      </c>
      <c r="F41" s="13">
        <v>7.5976838553777418E-2</v>
      </c>
      <c r="H41" t="str">
        <f t="shared" si="11"/>
        <v>System Pressure</v>
      </c>
      <c r="J41" t="e">
        <f t="shared" si="12"/>
        <v>#N/A</v>
      </c>
      <c r="K41" t="e">
        <f t="shared" si="13"/>
        <v>#N/A</v>
      </c>
      <c r="L41">
        <f t="shared" si="14"/>
        <v>1206.06</v>
      </c>
      <c r="M41">
        <f t="shared" si="15"/>
        <v>6.924105229562759</v>
      </c>
      <c r="N41" t="e">
        <f t="shared" si="16"/>
        <v>#N/A</v>
      </c>
      <c r="O41" t="e">
        <f t="shared" si="17"/>
        <v>#N/A</v>
      </c>
      <c r="P41" t="e">
        <f t="shared" si="18"/>
        <v>#N/A</v>
      </c>
      <c r="Q41" t="e">
        <f t="shared" si="19"/>
        <v>#N/A</v>
      </c>
    </row>
    <row r="42" spans="1:17" x14ac:dyDescent="0.35">
      <c r="A42" t="s">
        <v>52</v>
      </c>
      <c r="B42">
        <v>1433.1</v>
      </c>
      <c r="C42" t="str">
        <f t="shared" si="9"/>
        <v>High</v>
      </c>
      <c r="D42" s="12">
        <v>5.8968361538163654</v>
      </c>
      <c r="E42" s="12" t="str">
        <f t="shared" si="10"/>
        <v>Short</v>
      </c>
      <c r="F42" s="13">
        <v>1.6032219339348643E-2</v>
      </c>
      <c r="H42" t="str">
        <f t="shared" si="11"/>
        <v>Efficient / High Turnover</v>
      </c>
      <c r="J42">
        <f t="shared" si="12"/>
        <v>1433.1</v>
      </c>
      <c r="K42">
        <f t="shared" si="13"/>
        <v>5.8968361538163654</v>
      </c>
      <c r="L42" t="e">
        <f t="shared" si="14"/>
        <v>#N/A</v>
      </c>
      <c r="M42" t="e">
        <f t="shared" si="15"/>
        <v>#N/A</v>
      </c>
      <c r="N42" t="e">
        <f t="shared" si="16"/>
        <v>#N/A</v>
      </c>
      <c r="O42" t="e">
        <f t="shared" si="17"/>
        <v>#N/A</v>
      </c>
      <c r="P42" t="e">
        <f t="shared" si="18"/>
        <v>#N/A</v>
      </c>
      <c r="Q42" t="e">
        <f t="shared" si="19"/>
        <v>#N/A</v>
      </c>
    </row>
    <row r="43" spans="1:17" x14ac:dyDescent="0.35">
      <c r="A43" t="s">
        <v>53</v>
      </c>
      <c r="B43">
        <v>465.65</v>
      </c>
      <c r="C43" t="str">
        <f t="shared" si="9"/>
        <v>Low</v>
      </c>
      <c r="D43" s="12">
        <v>6.4048310366678329</v>
      </c>
      <c r="E43" s="12" t="str">
        <f t="shared" si="10"/>
        <v>Long</v>
      </c>
      <c r="F43" s="13">
        <v>3.7698731711007918E-2</v>
      </c>
      <c r="H43" t="str">
        <f t="shared" si="11"/>
        <v>Inefficient</v>
      </c>
      <c r="J43" t="e">
        <f t="shared" si="12"/>
        <v>#N/A</v>
      </c>
      <c r="K43" t="e">
        <f t="shared" si="13"/>
        <v>#N/A</v>
      </c>
      <c r="L43" t="e">
        <f t="shared" si="14"/>
        <v>#N/A</v>
      </c>
      <c r="M43" t="e">
        <f t="shared" si="15"/>
        <v>#N/A</v>
      </c>
      <c r="N43" t="e">
        <f t="shared" si="16"/>
        <v>#N/A</v>
      </c>
      <c r="O43" t="e">
        <f t="shared" si="17"/>
        <v>#N/A</v>
      </c>
      <c r="P43">
        <f t="shared" si="18"/>
        <v>465.65</v>
      </c>
      <c r="Q43">
        <f t="shared" si="19"/>
        <v>6.4048310366678329</v>
      </c>
    </row>
    <row r="44" spans="1:17" x14ac:dyDescent="0.35">
      <c r="A44" t="s">
        <v>54</v>
      </c>
      <c r="B44">
        <v>1417.13</v>
      </c>
      <c r="C44" t="str">
        <f t="shared" si="9"/>
        <v>High</v>
      </c>
      <c r="D44" s="12">
        <v>6.1101793617516886</v>
      </c>
      <c r="E44" s="12" t="str">
        <f t="shared" si="10"/>
        <v>Short</v>
      </c>
      <c r="F44" s="13">
        <v>4.3792219892848823E-2</v>
      </c>
      <c r="H44" t="str">
        <f t="shared" si="11"/>
        <v>Efficient / High Turnover</v>
      </c>
      <c r="J44">
        <f t="shared" si="12"/>
        <v>1417.13</v>
      </c>
      <c r="K44">
        <f t="shared" si="13"/>
        <v>6.1101793617516886</v>
      </c>
      <c r="L44" t="e">
        <f t="shared" si="14"/>
        <v>#N/A</v>
      </c>
      <c r="M44" t="e">
        <f t="shared" si="15"/>
        <v>#N/A</v>
      </c>
      <c r="N44" t="e">
        <f t="shared" si="16"/>
        <v>#N/A</v>
      </c>
      <c r="O44" t="e">
        <f t="shared" si="17"/>
        <v>#N/A</v>
      </c>
      <c r="P44" t="e">
        <f t="shared" si="18"/>
        <v>#N/A</v>
      </c>
      <c r="Q44" t="e">
        <f t="shared" si="19"/>
        <v>#N/A</v>
      </c>
    </row>
    <row r="45" spans="1:17" x14ac:dyDescent="0.35">
      <c r="A45" t="s">
        <v>55</v>
      </c>
      <c r="B45">
        <v>1330.01</v>
      </c>
      <c r="C45" t="str">
        <f t="shared" si="9"/>
        <v>High</v>
      </c>
      <c r="D45" s="12">
        <v>6.4655352151019567</v>
      </c>
      <c r="E45" s="12" t="str">
        <f t="shared" si="10"/>
        <v>Long</v>
      </c>
      <c r="F45" s="13">
        <v>4.8192931083710151E-2</v>
      </c>
      <c r="H45" t="str">
        <f t="shared" si="11"/>
        <v>System Pressure</v>
      </c>
      <c r="J45" t="e">
        <f t="shared" si="12"/>
        <v>#N/A</v>
      </c>
      <c r="K45" t="e">
        <f t="shared" si="13"/>
        <v>#N/A</v>
      </c>
      <c r="L45">
        <f t="shared" si="14"/>
        <v>1330.01</v>
      </c>
      <c r="M45">
        <f t="shared" si="15"/>
        <v>6.4655352151019567</v>
      </c>
      <c r="N45" t="e">
        <f t="shared" si="16"/>
        <v>#N/A</v>
      </c>
      <c r="O45" t="e">
        <f t="shared" si="17"/>
        <v>#N/A</v>
      </c>
      <c r="P45" t="e">
        <f t="shared" si="18"/>
        <v>#N/A</v>
      </c>
      <c r="Q45" t="e">
        <f t="shared" si="19"/>
        <v>#N/A</v>
      </c>
    </row>
    <row r="46" spans="1:17" x14ac:dyDescent="0.35">
      <c r="A46" t="s">
        <v>56</v>
      </c>
      <c r="B46">
        <v>616.65</v>
      </c>
      <c r="C46" t="str">
        <f t="shared" si="9"/>
        <v>Low</v>
      </c>
      <c r="D46" s="12">
        <v>5.8466877788400256</v>
      </c>
      <c r="E46" s="12" t="str">
        <f t="shared" si="10"/>
        <v>Short</v>
      </c>
      <c r="F46" s="13">
        <v>3.2148263224984069E-2</v>
      </c>
      <c r="H46" t="str">
        <f t="shared" si="11"/>
        <v>Underused but Efficient</v>
      </c>
      <c r="J46" t="e">
        <f t="shared" si="12"/>
        <v>#N/A</v>
      </c>
      <c r="K46" t="e">
        <f t="shared" si="13"/>
        <v>#N/A</v>
      </c>
      <c r="L46" t="e">
        <f t="shared" si="14"/>
        <v>#N/A</v>
      </c>
      <c r="M46" t="e">
        <f t="shared" si="15"/>
        <v>#N/A</v>
      </c>
      <c r="N46">
        <f t="shared" si="16"/>
        <v>616.65</v>
      </c>
      <c r="O46">
        <f t="shared" si="17"/>
        <v>5.8466877788400256</v>
      </c>
      <c r="P46" t="e">
        <f t="shared" si="18"/>
        <v>#N/A</v>
      </c>
      <c r="Q46" t="e">
        <f t="shared" si="19"/>
        <v>#N/A</v>
      </c>
    </row>
    <row r="47" spans="1:17" x14ac:dyDescent="0.35">
      <c r="A47" t="s">
        <v>57</v>
      </c>
      <c r="B47">
        <v>926.36</v>
      </c>
      <c r="C47" t="str">
        <f t="shared" si="9"/>
        <v>Low</v>
      </c>
      <c r="D47" s="12">
        <v>4.5126459143968871</v>
      </c>
      <c r="E47" s="12" t="str">
        <f t="shared" si="10"/>
        <v>Short</v>
      </c>
      <c r="F47" s="13">
        <v>2.7129269347168181E-2</v>
      </c>
      <c r="H47" t="str">
        <f t="shared" si="11"/>
        <v>Underused but Efficient</v>
      </c>
      <c r="J47" t="e">
        <f t="shared" si="12"/>
        <v>#N/A</v>
      </c>
      <c r="K47" t="e">
        <f t="shared" si="13"/>
        <v>#N/A</v>
      </c>
      <c r="L47" t="e">
        <f t="shared" si="14"/>
        <v>#N/A</v>
      </c>
      <c r="M47" t="e">
        <f t="shared" si="15"/>
        <v>#N/A</v>
      </c>
      <c r="N47">
        <f t="shared" si="16"/>
        <v>926.36</v>
      </c>
      <c r="O47">
        <f t="shared" si="17"/>
        <v>4.5126459143968871</v>
      </c>
      <c r="P47" t="e">
        <f t="shared" si="18"/>
        <v>#N/A</v>
      </c>
      <c r="Q47" t="e">
        <f t="shared" si="19"/>
        <v>#N/A</v>
      </c>
    </row>
    <row r="48" spans="1:17" x14ac:dyDescent="0.35">
      <c r="A48" t="s">
        <v>58</v>
      </c>
      <c r="B48">
        <v>1413.78</v>
      </c>
      <c r="C48" t="str">
        <f t="shared" si="9"/>
        <v>High</v>
      </c>
      <c r="D48" s="12">
        <v>7.1172685019663922</v>
      </c>
      <c r="E48" s="12" t="str">
        <f t="shared" si="10"/>
        <v>Long</v>
      </c>
      <c r="F48" s="13">
        <v>4.2724347515194855E-2</v>
      </c>
      <c r="H48" t="str">
        <f t="shared" si="11"/>
        <v>System Pressure</v>
      </c>
      <c r="J48" t="e">
        <f t="shared" si="12"/>
        <v>#N/A</v>
      </c>
      <c r="K48" t="e">
        <f t="shared" si="13"/>
        <v>#N/A</v>
      </c>
      <c r="L48">
        <f t="shared" si="14"/>
        <v>1413.78</v>
      </c>
      <c r="M48">
        <f t="shared" si="15"/>
        <v>7.1172685019663922</v>
      </c>
      <c r="N48" t="e">
        <f t="shared" si="16"/>
        <v>#N/A</v>
      </c>
      <c r="O48" t="e">
        <f t="shared" si="17"/>
        <v>#N/A</v>
      </c>
      <c r="P48" t="e">
        <f t="shared" si="18"/>
        <v>#N/A</v>
      </c>
      <c r="Q48" t="e">
        <f t="shared" si="19"/>
        <v>#N/A</v>
      </c>
    </row>
    <row r="49" spans="1:17" x14ac:dyDescent="0.35">
      <c r="A49" t="s">
        <v>59</v>
      </c>
      <c r="B49">
        <v>1133.26</v>
      </c>
      <c r="C49" t="str">
        <f t="shared" si="9"/>
        <v>Low</v>
      </c>
      <c r="D49" s="12">
        <v>6.3591653870167564</v>
      </c>
      <c r="E49" s="12" t="str">
        <f t="shared" si="10"/>
        <v>Long</v>
      </c>
      <c r="F49" s="13">
        <v>4.6818312212078772E-2</v>
      </c>
      <c r="H49" t="str">
        <f t="shared" si="11"/>
        <v>Inefficient</v>
      </c>
      <c r="J49" t="e">
        <f t="shared" si="12"/>
        <v>#N/A</v>
      </c>
      <c r="K49" t="e">
        <f t="shared" si="13"/>
        <v>#N/A</v>
      </c>
      <c r="L49" t="e">
        <f t="shared" si="14"/>
        <v>#N/A</v>
      </c>
      <c r="M49" t="e">
        <f t="shared" si="15"/>
        <v>#N/A</v>
      </c>
      <c r="N49" t="e">
        <f t="shared" si="16"/>
        <v>#N/A</v>
      </c>
      <c r="O49" t="e">
        <f t="shared" si="17"/>
        <v>#N/A</v>
      </c>
      <c r="P49">
        <f t="shared" si="18"/>
        <v>1133.26</v>
      </c>
      <c r="Q49">
        <f t="shared" si="19"/>
        <v>6.3591653870167564</v>
      </c>
    </row>
    <row r="50" spans="1:17" x14ac:dyDescent="0.35">
      <c r="A50" t="s">
        <v>60</v>
      </c>
      <c r="B50">
        <v>1256.83</v>
      </c>
      <c r="C50" t="str">
        <f t="shared" si="9"/>
        <v>High</v>
      </c>
      <c r="D50" s="12">
        <v>7.4134378143696722</v>
      </c>
      <c r="E50" s="12" t="str">
        <f t="shared" si="10"/>
        <v>Long</v>
      </c>
      <c r="F50" s="13">
        <v>5.6652724095939008E-2</v>
      </c>
      <c r="H50" t="str">
        <f t="shared" si="11"/>
        <v>System Pressure</v>
      </c>
      <c r="J50" t="e">
        <f t="shared" si="12"/>
        <v>#N/A</v>
      </c>
      <c r="K50" t="e">
        <f t="shared" si="13"/>
        <v>#N/A</v>
      </c>
      <c r="L50">
        <f t="shared" si="14"/>
        <v>1256.83</v>
      </c>
      <c r="M50">
        <f t="shared" si="15"/>
        <v>7.4134378143696722</v>
      </c>
      <c r="N50" t="e">
        <f t="shared" si="16"/>
        <v>#N/A</v>
      </c>
      <c r="O50" t="e">
        <f t="shared" si="17"/>
        <v>#N/A</v>
      </c>
      <c r="P50" t="e">
        <f t="shared" si="18"/>
        <v>#N/A</v>
      </c>
      <c r="Q50" t="e">
        <f t="shared" si="19"/>
        <v>#N/A</v>
      </c>
    </row>
    <row r="51" spans="1:17" x14ac:dyDescent="0.35">
      <c r="A51" t="s">
        <v>61</v>
      </c>
      <c r="B51">
        <v>908.33</v>
      </c>
      <c r="C51" t="str">
        <f t="shared" si="9"/>
        <v>Low</v>
      </c>
      <c r="D51" s="12">
        <v>6.0535309099328547</v>
      </c>
      <c r="E51" s="12" t="str">
        <f t="shared" si="10"/>
        <v>Short</v>
      </c>
      <c r="F51" s="13">
        <v>4.17920815003473E-2</v>
      </c>
      <c r="H51" t="str">
        <f t="shared" si="11"/>
        <v>Underused but Efficient</v>
      </c>
      <c r="J51" t="e">
        <f t="shared" si="12"/>
        <v>#N/A</v>
      </c>
      <c r="K51" t="e">
        <f t="shared" si="13"/>
        <v>#N/A</v>
      </c>
      <c r="L51" t="e">
        <f t="shared" si="14"/>
        <v>#N/A</v>
      </c>
      <c r="M51" t="e">
        <f t="shared" si="15"/>
        <v>#N/A</v>
      </c>
      <c r="N51">
        <f t="shared" si="16"/>
        <v>908.33</v>
      </c>
      <c r="O51">
        <f t="shared" si="17"/>
        <v>6.0535309099328547</v>
      </c>
      <c r="P51" t="e">
        <f t="shared" si="18"/>
        <v>#N/A</v>
      </c>
      <c r="Q51" t="e">
        <f t="shared" si="19"/>
        <v>#N/A</v>
      </c>
    </row>
    <row r="52" spans="1:17" x14ac:dyDescent="0.35">
      <c r="A52" t="s">
        <v>62</v>
      </c>
      <c r="B52">
        <v>899.42</v>
      </c>
      <c r="C52" t="str">
        <f t="shared" si="9"/>
        <v>Low</v>
      </c>
      <c r="D52" s="12">
        <v>6.1824256006671181</v>
      </c>
      <c r="E52" s="12" t="str">
        <f t="shared" si="10"/>
        <v>Short</v>
      </c>
      <c r="F52" s="13">
        <v>4.2664303955803409E-2</v>
      </c>
      <c r="H52" t="str">
        <f t="shared" si="11"/>
        <v>Underused but Efficient</v>
      </c>
      <c r="J52" t="e">
        <f t="shared" si="12"/>
        <v>#N/A</v>
      </c>
      <c r="K52" t="e">
        <f t="shared" si="13"/>
        <v>#N/A</v>
      </c>
      <c r="L52" t="e">
        <f t="shared" si="14"/>
        <v>#N/A</v>
      </c>
      <c r="M52" t="e">
        <f t="shared" si="15"/>
        <v>#N/A</v>
      </c>
      <c r="N52">
        <f t="shared" si="16"/>
        <v>899.42</v>
      </c>
      <c r="O52">
        <f t="shared" si="17"/>
        <v>6.1824256006671181</v>
      </c>
      <c r="P52" t="e">
        <f t="shared" si="18"/>
        <v>#N/A</v>
      </c>
      <c r="Q52" t="e">
        <f t="shared" si="19"/>
        <v>#N/A</v>
      </c>
    </row>
    <row r="53" spans="1:17" x14ac:dyDescent="0.35">
      <c r="A53" t="s">
        <v>63</v>
      </c>
      <c r="B53">
        <v>1201.23</v>
      </c>
      <c r="C53" t="str">
        <f t="shared" si="9"/>
        <v>High</v>
      </c>
      <c r="D53" s="12">
        <v>5.5614457831325304</v>
      </c>
      <c r="E53" s="12" t="str">
        <f t="shared" si="10"/>
        <v>Short</v>
      </c>
      <c r="F53" s="13">
        <v>3.9759036144578312E-2</v>
      </c>
      <c r="H53" t="str">
        <f t="shared" si="11"/>
        <v>Efficient / High Turnover</v>
      </c>
      <c r="J53">
        <f t="shared" si="12"/>
        <v>1201.23</v>
      </c>
      <c r="K53">
        <f t="shared" si="13"/>
        <v>5.5614457831325304</v>
      </c>
      <c r="L53" t="e">
        <f t="shared" si="14"/>
        <v>#N/A</v>
      </c>
      <c r="M53" t="e">
        <f t="shared" si="15"/>
        <v>#N/A</v>
      </c>
      <c r="N53" t="e">
        <f t="shared" si="16"/>
        <v>#N/A</v>
      </c>
      <c r="O53" t="e">
        <f t="shared" si="17"/>
        <v>#N/A</v>
      </c>
      <c r="P53" t="e">
        <f t="shared" si="18"/>
        <v>#N/A</v>
      </c>
      <c r="Q53" t="e">
        <f t="shared" si="19"/>
        <v>#N/A</v>
      </c>
    </row>
    <row r="54" spans="1:17" x14ac:dyDescent="0.35">
      <c r="C54" t="str">
        <f t="shared" si="9"/>
        <v>Low</v>
      </c>
      <c r="E54" s="12" t="str">
        <f t="shared" si="10"/>
        <v>Short</v>
      </c>
      <c r="F54" s="13">
        <v>4.0259069054994337E-2</v>
      </c>
      <c r="H54" t="str">
        <f t="shared" si="11"/>
        <v>Underused but Efficient</v>
      </c>
      <c r="J54" t="e">
        <f t="shared" si="12"/>
        <v>#N/A</v>
      </c>
      <c r="K54" t="e">
        <f t="shared" si="13"/>
        <v>#N/A</v>
      </c>
      <c r="L54" t="e">
        <f t="shared" si="14"/>
        <v>#N/A</v>
      </c>
      <c r="M54" t="e">
        <f t="shared" si="15"/>
        <v>#N/A</v>
      </c>
      <c r="N54">
        <f t="shared" si="16"/>
        <v>0</v>
      </c>
      <c r="O54">
        <f t="shared" si="17"/>
        <v>0</v>
      </c>
      <c r="P54" t="e">
        <f t="shared" si="18"/>
        <v>#N/A</v>
      </c>
      <c r="Q54" t="e">
        <f t="shared" si="19"/>
        <v>#N/A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247D-5037-44B7-83EF-A1B6F0284B1B}">
  <dimension ref="A1:S54"/>
  <sheetViews>
    <sheetView topLeftCell="A20" workbookViewId="0">
      <selection activeCell="H1" sqref="H1"/>
    </sheetView>
  </sheetViews>
  <sheetFormatPr defaultRowHeight="14.5" x14ac:dyDescent="0.35"/>
  <cols>
    <col min="1" max="1" width="21.26953125" bestFit="1" customWidth="1"/>
    <col min="2" max="2" width="48.453125" bestFit="1" customWidth="1"/>
    <col min="3" max="3" width="13.1796875" bestFit="1" customWidth="1"/>
    <col min="5" max="5" width="15.7265625" bestFit="1" customWidth="1"/>
    <col min="6" max="6" width="15.7265625" customWidth="1"/>
    <col min="7" max="7" width="47.54296875" bestFit="1" customWidth="1"/>
    <col min="8" max="8" width="15.26953125" bestFit="1" customWidth="1"/>
    <col min="9" max="9" width="15.453125" bestFit="1" customWidth="1"/>
    <col min="10" max="10" width="15.453125" customWidth="1"/>
    <col min="11" max="11" width="29.6328125" bestFit="1" customWidth="1"/>
    <col min="12" max="12" width="19.26953125" customWidth="1"/>
  </cols>
  <sheetData>
    <row r="1" spans="1:12" x14ac:dyDescent="0.35">
      <c r="A1" s="1" t="s">
        <v>0</v>
      </c>
      <c r="B1" t="s">
        <v>4</v>
      </c>
      <c r="C1" t="s">
        <v>68</v>
      </c>
      <c r="D1" t="s">
        <v>79</v>
      </c>
      <c r="E1" s="1" t="s">
        <v>7</v>
      </c>
      <c r="F1" s="1" t="s">
        <v>3</v>
      </c>
      <c r="G1" s="1" t="s">
        <v>6</v>
      </c>
      <c r="H1" s="1" t="s">
        <v>69</v>
      </c>
      <c r="I1" s="19" t="s">
        <v>70</v>
      </c>
      <c r="J1" s="21"/>
      <c r="K1" s="12"/>
      <c r="L1" s="12"/>
    </row>
    <row r="2" spans="1:12" x14ac:dyDescent="0.35">
      <c r="A2" t="s">
        <v>12</v>
      </c>
      <c r="B2">
        <v>225</v>
      </c>
      <c r="C2">
        <v>15.078018476897078</v>
      </c>
      <c r="D2">
        <v>6.6037812778423763</v>
      </c>
      <c r="E2">
        <v>874618</v>
      </c>
      <c r="F2">
        <v>132442</v>
      </c>
      <c r="G2">
        <v>102393</v>
      </c>
      <c r="H2">
        <v>0.77311577898249795</v>
      </c>
      <c r="I2">
        <v>4923</v>
      </c>
      <c r="K2" s="12"/>
      <c r="L2" s="12"/>
    </row>
    <row r="3" spans="1:12" x14ac:dyDescent="0.35">
      <c r="A3" t="s">
        <v>13</v>
      </c>
      <c r="B3">
        <v>168</v>
      </c>
      <c r="C3">
        <v>11.127990884922143</v>
      </c>
      <c r="D3">
        <v>6.7006802721088432</v>
      </c>
      <c r="E3">
        <v>2955</v>
      </c>
      <c r="F3">
        <v>441</v>
      </c>
      <c r="G3">
        <v>374</v>
      </c>
      <c r="H3">
        <v>0.84807256235827666</v>
      </c>
      <c r="I3">
        <v>19</v>
      </c>
      <c r="K3" s="16"/>
      <c r="L3" s="16"/>
    </row>
    <row r="4" spans="1:12" x14ac:dyDescent="0.35">
      <c r="A4" t="s">
        <v>14</v>
      </c>
      <c r="B4">
        <v>195</v>
      </c>
      <c r="C4">
        <v>13.211666639566117</v>
      </c>
      <c r="D4">
        <v>5.8389574033441782</v>
      </c>
      <c r="E4">
        <v>771735</v>
      </c>
      <c r="F4">
        <v>132170</v>
      </c>
      <c r="G4">
        <v>107025</v>
      </c>
      <c r="H4">
        <v>0.80975259135961264</v>
      </c>
      <c r="I4">
        <v>5563</v>
      </c>
      <c r="K4" s="16"/>
      <c r="L4" s="16"/>
    </row>
    <row r="5" spans="1:12" x14ac:dyDescent="0.35">
      <c r="A5" t="s">
        <v>15</v>
      </c>
      <c r="B5">
        <v>235</v>
      </c>
      <c r="C5">
        <v>15.436260611771937</v>
      </c>
      <c r="D5">
        <v>5.7532427371278372</v>
      </c>
      <c r="E5">
        <v>334879</v>
      </c>
      <c r="F5">
        <v>58207</v>
      </c>
      <c r="G5">
        <v>44696</v>
      </c>
      <c r="H5">
        <v>0.76788015187176795</v>
      </c>
      <c r="I5">
        <v>1998</v>
      </c>
      <c r="K5" s="16"/>
      <c r="L5" s="16"/>
    </row>
    <row r="6" spans="1:12" x14ac:dyDescent="0.35">
      <c r="A6" t="s">
        <v>16</v>
      </c>
      <c r="B6">
        <v>161</v>
      </c>
      <c r="C6">
        <v>11.09296958445257</v>
      </c>
      <c r="D6">
        <v>5.6851282646097934</v>
      </c>
      <c r="E6">
        <v>2940860</v>
      </c>
      <c r="F6">
        <v>517290</v>
      </c>
      <c r="G6">
        <v>429005</v>
      </c>
      <c r="H6">
        <v>0.82933170948597501</v>
      </c>
      <c r="I6">
        <v>24077</v>
      </c>
      <c r="K6" s="15"/>
      <c r="L6" s="15"/>
    </row>
    <row r="7" spans="1:12" x14ac:dyDescent="0.35">
      <c r="A7" t="s">
        <v>17</v>
      </c>
      <c r="B7">
        <v>164</v>
      </c>
      <c r="C7">
        <v>11.702724477270714</v>
      </c>
      <c r="D7">
        <v>5.5674924035638877</v>
      </c>
      <c r="E7">
        <v>432416</v>
      </c>
      <c r="F7">
        <v>77668</v>
      </c>
      <c r="G7">
        <v>60892</v>
      </c>
      <c r="H7">
        <v>0.78400370809084818</v>
      </c>
      <c r="I7">
        <v>3076</v>
      </c>
    </row>
    <row r="8" spans="1:12" x14ac:dyDescent="0.35">
      <c r="A8" t="s">
        <v>18</v>
      </c>
      <c r="B8">
        <v>197</v>
      </c>
      <c r="C8">
        <v>13.068676064222423</v>
      </c>
      <c r="D8">
        <v>6.1300956565263336</v>
      </c>
      <c r="E8">
        <v>440901</v>
      </c>
      <c r="F8">
        <v>71924</v>
      </c>
      <c r="G8">
        <v>58991</v>
      </c>
      <c r="H8">
        <v>0.82018519548412216</v>
      </c>
      <c r="I8">
        <v>2866</v>
      </c>
    </row>
    <row r="9" spans="1:12" x14ac:dyDescent="0.35">
      <c r="A9" t="s">
        <v>19</v>
      </c>
      <c r="B9">
        <v>211</v>
      </c>
      <c r="C9">
        <v>14.025718388486421</v>
      </c>
      <c r="D9">
        <v>7.6350638428014372</v>
      </c>
      <c r="E9">
        <v>99859</v>
      </c>
      <c r="F9">
        <v>13079</v>
      </c>
      <c r="G9">
        <v>11281</v>
      </c>
      <c r="H9">
        <v>0.86252771618625279</v>
      </c>
      <c r="I9">
        <v>511</v>
      </c>
    </row>
    <row r="10" spans="1:12" x14ac:dyDescent="0.35">
      <c r="A10" t="s">
        <v>20</v>
      </c>
      <c r="B10">
        <v>268</v>
      </c>
      <c r="C10">
        <v>16.196758386732</v>
      </c>
      <c r="D10">
        <v>8.7541789577187803</v>
      </c>
      <c r="E10">
        <v>62321</v>
      </c>
      <c r="F10">
        <v>7119</v>
      </c>
      <c r="G10">
        <v>6231</v>
      </c>
      <c r="H10">
        <v>0.87526337968815848</v>
      </c>
      <c r="I10">
        <v>385</v>
      </c>
    </row>
    <row r="11" spans="1:12" x14ac:dyDescent="0.35">
      <c r="A11" t="s">
        <v>21</v>
      </c>
      <c r="B11">
        <v>217</v>
      </c>
      <c r="C11">
        <v>14.14290972007767</v>
      </c>
      <c r="D11">
        <v>5.91175023490523</v>
      </c>
      <c r="E11">
        <v>3328274</v>
      </c>
      <c r="F11">
        <v>562993</v>
      </c>
      <c r="G11">
        <v>467699</v>
      </c>
      <c r="H11">
        <v>0.83073679424078095</v>
      </c>
      <c r="I11">
        <v>14817</v>
      </c>
    </row>
    <row r="12" spans="1:12" x14ac:dyDescent="0.35">
      <c r="A12" t="s">
        <v>22</v>
      </c>
      <c r="B12">
        <v>223</v>
      </c>
      <c r="C12">
        <v>14.480333473318804</v>
      </c>
      <c r="D12">
        <v>6.7146483781135826</v>
      </c>
      <c r="E12">
        <v>1391255</v>
      </c>
      <c r="F12">
        <v>207197</v>
      </c>
      <c r="G12">
        <v>170280</v>
      </c>
      <c r="H12">
        <v>0.82182657084803357</v>
      </c>
      <c r="I12">
        <v>7458</v>
      </c>
    </row>
    <row r="13" spans="1:12" x14ac:dyDescent="0.35">
      <c r="A13" t="s">
        <v>23</v>
      </c>
      <c r="B13">
        <v>159</v>
      </c>
      <c r="C13">
        <v>11.170869976015698</v>
      </c>
      <c r="D13">
        <v>7.862824877522212</v>
      </c>
      <c r="E13">
        <v>189384</v>
      </c>
      <c r="F13">
        <v>24086</v>
      </c>
      <c r="G13">
        <v>20959</v>
      </c>
      <c r="H13">
        <v>0.87017354479780784</v>
      </c>
      <c r="I13">
        <v>1207</v>
      </c>
    </row>
    <row r="14" spans="1:12" x14ac:dyDescent="0.35">
      <c r="A14" t="s">
        <v>24</v>
      </c>
      <c r="B14">
        <v>126</v>
      </c>
      <c r="C14">
        <v>9.6381150098549853</v>
      </c>
      <c r="D14">
        <v>5.8106447808138393</v>
      </c>
      <c r="E14">
        <v>118235</v>
      </c>
      <c r="F14">
        <v>20348</v>
      </c>
      <c r="G14">
        <v>15188</v>
      </c>
      <c r="H14">
        <v>0.74641242382543738</v>
      </c>
      <c r="I14">
        <v>847</v>
      </c>
    </row>
    <row r="15" spans="1:12" x14ac:dyDescent="0.35">
      <c r="A15" t="s">
        <v>25</v>
      </c>
      <c r="B15">
        <v>220</v>
      </c>
      <c r="C15">
        <v>14.258469835493173</v>
      </c>
      <c r="D15">
        <v>6.0444579749330503</v>
      </c>
      <c r="E15">
        <v>1171422</v>
      </c>
      <c r="F15">
        <v>193801</v>
      </c>
      <c r="G15">
        <v>156335</v>
      </c>
      <c r="H15">
        <v>0.80667798411772906</v>
      </c>
      <c r="I15">
        <v>7505</v>
      </c>
      <c r="K15" t="s">
        <v>87</v>
      </c>
      <c r="L15" s="12">
        <f>B54</f>
        <v>188.51923076923077</v>
      </c>
    </row>
    <row r="16" spans="1:12" x14ac:dyDescent="0.35">
      <c r="A16" t="s">
        <v>26</v>
      </c>
      <c r="B16">
        <v>216</v>
      </c>
      <c r="C16">
        <v>14.555195024089535</v>
      </c>
      <c r="D16">
        <v>5.9544597488095619</v>
      </c>
      <c r="E16">
        <v>745284</v>
      </c>
      <c r="F16">
        <v>125164</v>
      </c>
      <c r="G16">
        <v>96793</v>
      </c>
      <c r="H16">
        <v>0.77332939183790861</v>
      </c>
      <c r="I16">
        <v>5290</v>
      </c>
      <c r="K16" t="s">
        <v>83</v>
      </c>
      <c r="L16" s="12">
        <f>E54/F54</f>
        <v>6.1277112558109685</v>
      </c>
    </row>
    <row r="17" spans="1:14" x14ac:dyDescent="0.35">
      <c r="A17" t="s">
        <v>27</v>
      </c>
      <c r="B17">
        <v>162</v>
      </c>
      <c r="C17">
        <v>11.4566972893822</v>
      </c>
      <c r="D17">
        <v>5.7471610384191232</v>
      </c>
      <c r="E17">
        <v>192823</v>
      </c>
      <c r="F17">
        <v>33551</v>
      </c>
      <c r="G17">
        <v>24838</v>
      </c>
      <c r="H17">
        <v>0.7403058031057197</v>
      </c>
      <c r="I17">
        <v>1475</v>
      </c>
      <c r="K17" t="s">
        <v>84</v>
      </c>
      <c r="L17">
        <f>E54</f>
        <v>36659964</v>
      </c>
      <c r="M17" t="str">
        <f>ROUND(L17/1000000,1)&amp;"M"</f>
        <v>36,7M</v>
      </c>
    </row>
    <row r="18" spans="1:14" x14ac:dyDescent="0.35">
      <c r="A18" t="s">
        <v>28</v>
      </c>
      <c r="B18">
        <v>211</v>
      </c>
      <c r="C18">
        <v>14.275429204356655</v>
      </c>
      <c r="D18">
        <v>5.2660328385196422</v>
      </c>
      <c r="E18">
        <v>180567</v>
      </c>
      <c r="F18">
        <v>34289</v>
      </c>
      <c r="G18">
        <v>25695</v>
      </c>
      <c r="H18">
        <v>0.74936568578844531</v>
      </c>
      <c r="I18">
        <v>1296</v>
      </c>
      <c r="K18" t="s">
        <v>82</v>
      </c>
      <c r="L18">
        <f>F54</f>
        <v>5982652</v>
      </c>
      <c r="M18" t="str">
        <f>ROUND(L18/1000000,2)&amp;"M"</f>
        <v>5,98M</v>
      </c>
    </row>
    <row r="19" spans="1:14" x14ac:dyDescent="0.35">
      <c r="A19" t="s">
        <v>29</v>
      </c>
      <c r="B19">
        <v>223</v>
      </c>
      <c r="C19">
        <v>14.756820671547063</v>
      </c>
      <c r="D19">
        <v>6.6651133378733336</v>
      </c>
      <c r="E19">
        <v>685107</v>
      </c>
      <c r="F19">
        <v>102790</v>
      </c>
      <c r="G19">
        <v>78688</v>
      </c>
      <c r="H19">
        <v>0.76552193793170542</v>
      </c>
      <c r="I19">
        <v>4363</v>
      </c>
      <c r="K19" t="s">
        <v>94</v>
      </c>
      <c r="L19">
        <f>G54</f>
        <v>4761422</v>
      </c>
      <c r="M19" t="str">
        <f t="shared" ref="M19" si="0">ROUND(L19/1000000,1)&amp;"M"</f>
        <v>4,8M</v>
      </c>
    </row>
    <row r="20" spans="1:14" x14ac:dyDescent="0.35">
      <c r="A20" t="s">
        <v>30</v>
      </c>
      <c r="B20">
        <v>205</v>
      </c>
      <c r="C20">
        <v>13.79049219866538</v>
      </c>
      <c r="D20">
        <v>5.9189296057623464</v>
      </c>
      <c r="E20">
        <v>553852</v>
      </c>
      <c r="F20">
        <v>93573</v>
      </c>
      <c r="G20">
        <v>75137</v>
      </c>
      <c r="H20">
        <v>0.80297735457877806</v>
      </c>
      <c r="I20">
        <v>3709</v>
      </c>
      <c r="K20" t="s">
        <v>86</v>
      </c>
      <c r="L20" s="13">
        <f>G54/F54</f>
        <v>0.79587146302342171</v>
      </c>
    </row>
    <row r="21" spans="1:14" x14ac:dyDescent="0.35">
      <c r="A21" t="s">
        <v>31</v>
      </c>
      <c r="B21">
        <v>120</v>
      </c>
      <c r="C21">
        <v>8.9568050424283712</v>
      </c>
      <c r="D21">
        <v>7.4372949002217297</v>
      </c>
      <c r="E21">
        <v>167711</v>
      </c>
      <c r="F21">
        <v>22550</v>
      </c>
      <c r="G21">
        <v>16652</v>
      </c>
      <c r="H21">
        <v>0.73844789356984475</v>
      </c>
      <c r="I21">
        <v>920</v>
      </c>
      <c r="K21" t="s">
        <v>72</v>
      </c>
      <c r="L21" s="5">
        <f>I54/F54</f>
        <v>4.0259069054994337E-2</v>
      </c>
    </row>
    <row r="22" spans="1:14" x14ac:dyDescent="0.35">
      <c r="A22" t="s">
        <v>32</v>
      </c>
      <c r="B22">
        <v>201</v>
      </c>
      <c r="C22">
        <v>13.229972921808727</v>
      </c>
      <c r="D22">
        <v>7.1131243294790796</v>
      </c>
      <c r="E22">
        <v>298360</v>
      </c>
      <c r="F22">
        <v>41945</v>
      </c>
      <c r="G22">
        <v>34046</v>
      </c>
      <c r="H22">
        <v>0.81168196447729168</v>
      </c>
      <c r="I22">
        <v>1797</v>
      </c>
    </row>
    <row r="23" spans="1:14" x14ac:dyDescent="0.35">
      <c r="A23" t="s">
        <v>33</v>
      </c>
      <c r="B23">
        <v>228</v>
      </c>
      <c r="C23">
        <v>14.738728644886843</v>
      </c>
      <c r="D23">
        <v>6.5428799920027991</v>
      </c>
      <c r="E23">
        <v>654517</v>
      </c>
      <c r="F23">
        <v>100035</v>
      </c>
      <c r="G23">
        <v>81024</v>
      </c>
      <c r="H23">
        <v>0.80995651521967316</v>
      </c>
      <c r="I23">
        <v>2910</v>
      </c>
    </row>
    <row r="24" spans="1:14" x14ac:dyDescent="0.35">
      <c r="A24" t="s">
        <v>34</v>
      </c>
      <c r="B24">
        <v>206</v>
      </c>
      <c r="C24">
        <v>13.531614108277552</v>
      </c>
      <c r="D24">
        <v>6.136540012907389</v>
      </c>
      <c r="E24">
        <v>1521371</v>
      </c>
      <c r="F24">
        <v>247920</v>
      </c>
      <c r="G24">
        <v>200186</v>
      </c>
      <c r="H24">
        <v>0.80746208454340107</v>
      </c>
      <c r="I24">
        <v>9951</v>
      </c>
    </row>
    <row r="25" spans="1:14" x14ac:dyDescent="0.35">
      <c r="A25" t="s">
        <v>35</v>
      </c>
      <c r="B25">
        <v>145</v>
      </c>
      <c r="C25">
        <v>10.139900797012615</v>
      </c>
      <c r="D25">
        <v>5.8139620302564223</v>
      </c>
      <c r="E25">
        <v>506524</v>
      </c>
      <c r="F25">
        <v>87122</v>
      </c>
      <c r="G25">
        <v>64053</v>
      </c>
      <c r="H25">
        <v>0.73521039461903992</v>
      </c>
      <c r="I25">
        <v>3166</v>
      </c>
    </row>
    <row r="26" spans="1:14" x14ac:dyDescent="0.35">
      <c r="A26" t="s">
        <v>36</v>
      </c>
      <c r="B26">
        <v>216</v>
      </c>
      <c r="C26">
        <v>14.332223557636961</v>
      </c>
      <c r="D26">
        <v>6.5483259902517936</v>
      </c>
      <c r="E26">
        <v>307660</v>
      </c>
      <c r="F26">
        <v>46983</v>
      </c>
      <c r="G26">
        <v>37892</v>
      </c>
      <c r="H26">
        <v>0.80650448034395417</v>
      </c>
      <c r="I26">
        <v>1965</v>
      </c>
    </row>
    <row r="27" spans="1:14" x14ac:dyDescent="0.35">
      <c r="A27" t="s">
        <v>37</v>
      </c>
      <c r="B27">
        <v>232</v>
      </c>
      <c r="C27">
        <v>15.188293508585188</v>
      </c>
      <c r="D27">
        <v>5.7652282198778773</v>
      </c>
      <c r="E27">
        <v>814817</v>
      </c>
      <c r="F27">
        <v>141333</v>
      </c>
      <c r="G27">
        <v>111037</v>
      </c>
      <c r="H27">
        <v>0.78564100387029212</v>
      </c>
      <c r="I27">
        <v>5984</v>
      </c>
    </row>
    <row r="28" spans="1:14" x14ac:dyDescent="0.35">
      <c r="A28" t="s">
        <v>38</v>
      </c>
      <c r="B28">
        <v>137</v>
      </c>
      <c r="C28">
        <v>10.244809811308858</v>
      </c>
      <c r="D28">
        <v>6.2218265364732916</v>
      </c>
      <c r="E28">
        <v>54161</v>
      </c>
      <c r="F28">
        <v>8705</v>
      </c>
      <c r="G28">
        <v>6418</v>
      </c>
      <c r="H28">
        <v>0.73727742676622632</v>
      </c>
      <c r="I28">
        <v>476</v>
      </c>
    </row>
    <row r="29" spans="1:14" x14ac:dyDescent="0.35">
      <c r="A29" t="s">
        <v>39</v>
      </c>
      <c r="B29">
        <v>168</v>
      </c>
      <c r="C29">
        <v>11.704711024769306</v>
      </c>
      <c r="D29">
        <v>6.4015048653541529</v>
      </c>
      <c r="E29">
        <v>113153</v>
      </c>
      <c r="F29">
        <v>17676</v>
      </c>
      <c r="G29">
        <v>12725</v>
      </c>
      <c r="H29">
        <v>0.71990269291694953</v>
      </c>
      <c r="I29">
        <v>845</v>
      </c>
    </row>
    <row r="30" spans="1:14" x14ac:dyDescent="0.35">
      <c r="A30" t="s">
        <v>40</v>
      </c>
      <c r="B30">
        <v>216</v>
      </c>
      <c r="C30">
        <v>14.178944880294452</v>
      </c>
      <c r="D30">
        <v>6.1920685102834909</v>
      </c>
      <c r="E30">
        <v>356465</v>
      </c>
      <c r="F30">
        <v>57568</v>
      </c>
      <c r="G30">
        <v>50163</v>
      </c>
      <c r="H30">
        <v>0.87136951083935521</v>
      </c>
      <c r="I30">
        <v>2311</v>
      </c>
      <c r="K30" t="s">
        <v>87</v>
      </c>
      <c r="L30" s="17">
        <v>188.51923076923077</v>
      </c>
      <c r="M30" s="12">
        <v>188.51923076923077</v>
      </c>
      <c r="N30" s="12">
        <v>188.51923076923077</v>
      </c>
    </row>
    <row r="31" spans="1:14" x14ac:dyDescent="0.35">
      <c r="A31" t="s">
        <v>41</v>
      </c>
      <c r="B31">
        <v>153</v>
      </c>
      <c r="C31">
        <v>10.62592193499116</v>
      </c>
      <c r="D31">
        <v>6.8183873398643557</v>
      </c>
      <c r="E31">
        <v>99528</v>
      </c>
      <c r="F31">
        <v>14597</v>
      </c>
      <c r="G31">
        <v>11220</v>
      </c>
      <c r="H31">
        <v>0.76865109269027887</v>
      </c>
      <c r="I31">
        <v>650</v>
      </c>
      <c r="K31" t="s">
        <v>83</v>
      </c>
      <c r="L31" s="17">
        <v>6.2935756871384703</v>
      </c>
      <c r="M31" s="12">
        <v>6.2935756871384703</v>
      </c>
      <c r="N31" s="12">
        <v>6.2935756871384703</v>
      </c>
    </row>
    <row r="32" spans="1:14" x14ac:dyDescent="0.35">
      <c r="A32" t="s">
        <v>42</v>
      </c>
      <c r="B32">
        <v>230</v>
      </c>
      <c r="C32">
        <v>14.726831365291835</v>
      </c>
      <c r="D32">
        <v>6.1713534347215075</v>
      </c>
      <c r="E32">
        <v>887058</v>
      </c>
      <c r="F32">
        <v>143738</v>
      </c>
      <c r="G32">
        <v>123903</v>
      </c>
      <c r="H32">
        <v>0.86200587179451504</v>
      </c>
      <c r="I32">
        <v>5946</v>
      </c>
      <c r="K32" t="s">
        <v>84</v>
      </c>
      <c r="L32" s="16" t="s">
        <v>88</v>
      </c>
      <c r="M32">
        <v>36659964</v>
      </c>
      <c r="N32" s="16"/>
    </row>
    <row r="33" spans="1:19" x14ac:dyDescent="0.35">
      <c r="A33" t="s">
        <v>43</v>
      </c>
      <c r="B33">
        <v>166</v>
      </c>
      <c r="C33">
        <v>11.689693892496217</v>
      </c>
      <c r="D33">
        <v>5.9471823725218727</v>
      </c>
      <c r="E33">
        <v>201889</v>
      </c>
      <c r="F33">
        <v>33947</v>
      </c>
      <c r="G33">
        <v>26541</v>
      </c>
      <c r="H33">
        <v>0.78183639202285915</v>
      </c>
      <c r="I33">
        <v>1544</v>
      </c>
      <c r="K33" t="s">
        <v>82</v>
      </c>
      <c r="L33" s="16" t="s">
        <v>89</v>
      </c>
      <c r="M33">
        <v>5982652</v>
      </c>
      <c r="N33" s="16" t="str">
        <f>ROUND(M33/1000000,2)&amp;".M"</f>
        <v>5,98.M</v>
      </c>
    </row>
    <row r="34" spans="1:19" x14ac:dyDescent="0.35">
      <c r="A34" t="s">
        <v>44</v>
      </c>
      <c r="B34">
        <v>211</v>
      </c>
      <c r="C34">
        <v>14.03151419440076</v>
      </c>
      <c r="D34">
        <v>6.7752512271051275</v>
      </c>
      <c r="E34">
        <v>2596405</v>
      </c>
      <c r="F34">
        <v>383219</v>
      </c>
      <c r="G34">
        <v>313757</v>
      </c>
      <c r="H34">
        <v>0.8187407200582435</v>
      </c>
      <c r="I34">
        <v>16588</v>
      </c>
      <c r="K34" t="s">
        <v>85</v>
      </c>
      <c r="L34" s="16" t="s">
        <v>90</v>
      </c>
      <c r="M34">
        <v>4761422</v>
      </c>
      <c r="N34" s="16" t="str">
        <f>ROUND(M34/1000000,1)&amp;"M"</f>
        <v>4,8M</v>
      </c>
    </row>
    <row r="35" spans="1:19" x14ac:dyDescent="0.35">
      <c r="A35" t="s">
        <v>45</v>
      </c>
      <c r="B35">
        <v>193</v>
      </c>
      <c r="C35">
        <v>13.208251927846435</v>
      </c>
      <c r="D35">
        <v>6.3972351431550241</v>
      </c>
      <c r="E35">
        <v>1276274</v>
      </c>
      <c r="F35">
        <v>199504</v>
      </c>
      <c r="G35">
        <v>159772</v>
      </c>
      <c r="H35">
        <v>0.80084609832384313</v>
      </c>
      <c r="I35">
        <v>8810</v>
      </c>
      <c r="K35" t="s">
        <v>86</v>
      </c>
      <c r="L35" s="18">
        <v>0.79587146302342171</v>
      </c>
      <c r="M35" s="15">
        <v>0.79587146302342171</v>
      </c>
      <c r="N35" s="15">
        <v>0.79587146302342171</v>
      </c>
    </row>
    <row r="36" spans="1:19" x14ac:dyDescent="0.35">
      <c r="A36" t="s">
        <v>46</v>
      </c>
      <c r="B36">
        <v>70</v>
      </c>
      <c r="C36">
        <v>4.7820903430918005</v>
      </c>
      <c r="D36">
        <v>6.0652091971353181</v>
      </c>
      <c r="E36">
        <v>16091</v>
      </c>
      <c r="F36">
        <v>2653</v>
      </c>
      <c r="G36">
        <v>2091</v>
      </c>
      <c r="H36">
        <v>0.78816434225405196</v>
      </c>
      <c r="I36">
        <v>116</v>
      </c>
      <c r="K36" t="s">
        <v>93</v>
      </c>
    </row>
    <row r="37" spans="1:19" x14ac:dyDescent="0.35">
      <c r="A37" t="s">
        <v>47</v>
      </c>
      <c r="B37">
        <v>231</v>
      </c>
      <c r="C37">
        <v>15.124093678850159</v>
      </c>
      <c r="D37">
        <v>5.6776430464782877</v>
      </c>
      <c r="E37">
        <v>1651439</v>
      </c>
      <c r="F37">
        <v>290867</v>
      </c>
      <c r="G37">
        <v>230994</v>
      </c>
      <c r="H37">
        <v>0.7941567795590424</v>
      </c>
      <c r="I37">
        <v>10870</v>
      </c>
      <c r="S37" s="12">
        <v>188.51923076923077</v>
      </c>
    </row>
    <row r="38" spans="1:19" x14ac:dyDescent="0.35">
      <c r="A38" t="s">
        <v>48</v>
      </c>
      <c r="B38">
        <v>238</v>
      </c>
      <c r="C38">
        <v>16.028528807118843</v>
      </c>
      <c r="D38">
        <v>5.647034063449996</v>
      </c>
      <c r="E38">
        <v>362229</v>
      </c>
      <c r="F38">
        <v>64145</v>
      </c>
      <c r="G38">
        <v>49350</v>
      </c>
      <c r="H38">
        <v>0.76935068984332367</v>
      </c>
      <c r="I38">
        <v>2842</v>
      </c>
      <c r="S38" s="12">
        <v>6.2935756871384703</v>
      </c>
    </row>
    <row r="39" spans="1:19" x14ac:dyDescent="0.35">
      <c r="A39" t="s">
        <v>49</v>
      </c>
      <c r="B39">
        <v>146</v>
      </c>
      <c r="C39">
        <v>10.652115665151173</v>
      </c>
      <c r="D39">
        <v>6.4642382849554165</v>
      </c>
      <c r="E39">
        <v>442949</v>
      </c>
      <c r="F39">
        <v>68523</v>
      </c>
      <c r="G39">
        <v>53174</v>
      </c>
      <c r="H39">
        <v>0.77600221823329396</v>
      </c>
      <c r="I39">
        <v>3655</v>
      </c>
      <c r="S39" s="16" t="str">
        <f>ROUND(R39/1000000,1)&amp;"M"</f>
        <v>0M</v>
      </c>
    </row>
    <row r="40" spans="1:19" x14ac:dyDescent="0.35">
      <c r="A40" t="s">
        <v>50</v>
      </c>
      <c r="B40">
        <v>227</v>
      </c>
      <c r="C40">
        <v>15.044180519840001</v>
      </c>
      <c r="D40">
        <v>5.7169079161672478</v>
      </c>
      <c r="E40">
        <v>1807692</v>
      </c>
      <c r="F40">
        <v>316201</v>
      </c>
      <c r="G40">
        <v>260120</v>
      </c>
      <c r="H40">
        <v>0.82264129461956159</v>
      </c>
      <c r="I40">
        <v>13951</v>
      </c>
      <c r="S40" s="16" t="str">
        <f>ROUND(R40/1000000,1)&amp;".0M"</f>
        <v>0.0M</v>
      </c>
    </row>
    <row r="41" spans="1:19" x14ac:dyDescent="0.35">
      <c r="A41" t="s">
        <v>51</v>
      </c>
      <c r="B41">
        <v>205</v>
      </c>
      <c r="C41">
        <v>13.429750429679146</v>
      </c>
      <c r="D41">
        <v>6.924105229562759</v>
      </c>
      <c r="E41">
        <v>152274</v>
      </c>
      <c r="F41">
        <v>25823</v>
      </c>
      <c r="G41">
        <v>21962</v>
      </c>
      <c r="H41">
        <v>0.20458669584644143</v>
      </c>
      <c r="I41">
        <v>8332</v>
      </c>
      <c r="S41" s="16" t="str">
        <f>ROUND(R41/1000000,1)&amp;"M"</f>
        <v>0M</v>
      </c>
    </row>
    <row r="42" spans="1:19" x14ac:dyDescent="0.35">
      <c r="A42" t="s">
        <v>52</v>
      </c>
      <c r="B42">
        <v>224</v>
      </c>
      <c r="C42">
        <v>14.939201171536077</v>
      </c>
      <c r="D42">
        <v>5.8968361538163654</v>
      </c>
      <c r="E42">
        <v>677202</v>
      </c>
      <c r="F42">
        <v>105733</v>
      </c>
      <c r="G42">
        <v>83893</v>
      </c>
      <c r="H42">
        <v>0.85048212833520509</v>
      </c>
      <c r="I42">
        <v>414</v>
      </c>
      <c r="S42" s="15">
        <v>0.79587146302342171</v>
      </c>
    </row>
    <row r="43" spans="1:19" x14ac:dyDescent="0.35">
      <c r="A43" t="s">
        <v>53</v>
      </c>
      <c r="B43">
        <v>76</v>
      </c>
      <c r="C43">
        <v>5.3948022438400915</v>
      </c>
      <c r="D43">
        <v>6.4048310366678329</v>
      </c>
      <c r="E43">
        <v>26231</v>
      </c>
      <c r="F43">
        <v>4293</v>
      </c>
      <c r="G43">
        <v>3043</v>
      </c>
      <c r="H43">
        <v>0.79344197175905351</v>
      </c>
      <c r="I43">
        <v>3986</v>
      </c>
    </row>
    <row r="44" spans="1:19" x14ac:dyDescent="0.35">
      <c r="A44" t="s">
        <v>54</v>
      </c>
      <c r="B44">
        <v>219</v>
      </c>
      <c r="C44">
        <v>14.661031502778288</v>
      </c>
      <c r="D44">
        <v>6.1101793617516886</v>
      </c>
      <c r="E44">
        <v>973729</v>
      </c>
      <c r="F44">
        <v>150603</v>
      </c>
      <c r="G44">
        <v>122224</v>
      </c>
      <c r="H44">
        <v>0.70882832518052641</v>
      </c>
      <c r="I44">
        <v>188</v>
      </c>
    </row>
    <row r="45" spans="1:19" x14ac:dyDescent="0.35">
      <c r="A45" t="s">
        <v>55</v>
      </c>
      <c r="B45">
        <v>227</v>
      </c>
      <c r="C45">
        <v>14.708499536955651</v>
      </c>
      <c r="D45">
        <v>6.4655352151019567</v>
      </c>
      <c r="E45">
        <v>2935505</v>
      </c>
      <c r="F45">
        <v>502080</v>
      </c>
      <c r="G45">
        <v>411356</v>
      </c>
      <c r="H45">
        <v>0.81156417866841957</v>
      </c>
      <c r="I45">
        <v>7258</v>
      </c>
    </row>
    <row r="46" spans="1:19" x14ac:dyDescent="0.35">
      <c r="A46" t="s">
        <v>56</v>
      </c>
      <c r="B46">
        <v>137</v>
      </c>
      <c r="C46">
        <v>10.162515569690674</v>
      </c>
      <c r="D46">
        <v>5.8466877788400256</v>
      </c>
      <c r="E46">
        <v>125253</v>
      </c>
      <c r="F46">
        <v>27756</v>
      </c>
      <c r="G46">
        <v>20513</v>
      </c>
      <c r="H46">
        <v>0.81930369662205227</v>
      </c>
      <c r="I46">
        <v>16141</v>
      </c>
    </row>
    <row r="47" spans="1:19" x14ac:dyDescent="0.35">
      <c r="A47" t="s">
        <v>57</v>
      </c>
      <c r="B47">
        <v>130</v>
      </c>
      <c r="C47">
        <v>9.1649410177063206</v>
      </c>
      <c r="D47">
        <v>4.5126459143968871</v>
      </c>
      <c r="E47">
        <v>39814</v>
      </c>
      <c r="F47">
        <v>5594</v>
      </c>
      <c r="G47">
        <v>4091</v>
      </c>
      <c r="H47">
        <v>0.73904741317192679</v>
      </c>
      <c r="I47">
        <v>753</v>
      </c>
    </row>
    <row r="48" spans="1:19" x14ac:dyDescent="0.35">
      <c r="A48" t="s">
        <v>58</v>
      </c>
      <c r="B48">
        <v>222</v>
      </c>
      <c r="C48">
        <v>14.594924124477124</v>
      </c>
      <c r="D48">
        <v>7.1172685019663922</v>
      </c>
      <c r="E48">
        <v>753701</v>
      </c>
      <c r="F48">
        <v>118522</v>
      </c>
      <c r="G48">
        <v>97756</v>
      </c>
      <c r="H48">
        <v>0.73131927064712188</v>
      </c>
      <c r="I48">
        <v>239</v>
      </c>
    </row>
    <row r="49" spans="1:10" x14ac:dyDescent="0.35">
      <c r="A49" t="s">
        <v>59</v>
      </c>
      <c r="B49">
        <v>153</v>
      </c>
      <c r="C49">
        <v>10.849144412986858</v>
      </c>
      <c r="D49">
        <v>6.3591653870167564</v>
      </c>
      <c r="E49">
        <v>700088</v>
      </c>
      <c r="F49">
        <v>94435</v>
      </c>
      <c r="G49">
        <v>73009</v>
      </c>
      <c r="H49">
        <v>0.8247920217343615</v>
      </c>
      <c r="I49">
        <v>5549</v>
      </c>
    </row>
    <row r="50" spans="1:10" x14ac:dyDescent="0.35">
      <c r="A50" t="s">
        <v>60</v>
      </c>
      <c r="B50">
        <v>208</v>
      </c>
      <c r="C50">
        <v>13.588270640548011</v>
      </c>
      <c r="D50">
        <v>7.4134378143696722</v>
      </c>
      <c r="E50">
        <v>261452</v>
      </c>
      <c r="F50">
        <v>43190</v>
      </c>
      <c r="G50">
        <v>33346</v>
      </c>
      <c r="H50">
        <v>0.77311378196643199</v>
      </c>
      <c r="I50">
        <v>5350</v>
      </c>
    </row>
    <row r="51" spans="1:10" x14ac:dyDescent="0.35">
      <c r="A51" t="s">
        <v>61</v>
      </c>
      <c r="B51">
        <v>147</v>
      </c>
      <c r="C51">
        <v>10.434661422918122</v>
      </c>
      <c r="D51">
        <v>6.0535309099328547</v>
      </c>
      <c r="E51">
        <v>593111</v>
      </c>
      <c r="F51">
        <v>95935</v>
      </c>
      <c r="G51">
        <v>68927</v>
      </c>
      <c r="H51">
        <v>0.77207686964575128</v>
      </c>
      <c r="I51">
        <v>1805</v>
      </c>
    </row>
    <row r="52" spans="1:10" x14ac:dyDescent="0.35">
      <c r="A52" t="s">
        <v>62</v>
      </c>
      <c r="B52">
        <v>162</v>
      </c>
      <c r="C52">
        <v>11.545206547155106</v>
      </c>
      <c r="D52">
        <v>6.1824256006671181</v>
      </c>
      <c r="E52">
        <v>9232</v>
      </c>
      <c r="F52">
        <v>1660</v>
      </c>
      <c r="G52">
        <v>1248</v>
      </c>
      <c r="H52">
        <v>0.71847605149319849</v>
      </c>
      <c r="I52">
        <v>4093</v>
      </c>
    </row>
    <row r="53" spans="1:10" x14ac:dyDescent="0.35">
      <c r="A53" t="s">
        <v>63</v>
      </c>
      <c r="B53">
        <v>173</v>
      </c>
      <c r="C53">
        <v>12.350762737470555</v>
      </c>
      <c r="D53">
        <v>5.5614457831325304</v>
      </c>
      <c r="E53">
        <v>759332</v>
      </c>
      <c r="F53">
        <v>109665</v>
      </c>
      <c r="G53">
        <v>22436</v>
      </c>
      <c r="H53">
        <v>0.75180722891566265</v>
      </c>
      <c r="I53">
        <v>66</v>
      </c>
    </row>
    <row r="54" spans="1:10" x14ac:dyDescent="0.35">
      <c r="B54" s="12">
        <f>AVERAGE(B2:B53)</f>
        <v>188.51923076923077</v>
      </c>
      <c r="C54">
        <f>AVERAGE(C2:C53)</f>
        <v>12.720174113479841</v>
      </c>
      <c r="D54" t="s">
        <v>92</v>
      </c>
      <c r="E54">
        <f>SUM(E2:E53)</f>
        <v>36659964</v>
      </c>
      <c r="F54">
        <f>SUM(F2:F53)</f>
        <v>5982652</v>
      </c>
      <c r="G54">
        <f>SUM(G2:G53)</f>
        <v>4761422</v>
      </c>
      <c r="H54">
        <f>AVERAGE(H2:H53)</f>
        <v>0.78042594971405843</v>
      </c>
      <c r="I54" s="20">
        <v>240856</v>
      </c>
      <c r="J54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B2EE2-03FA-45D6-8C8F-F1371E47C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Cleaned_data_read_only</vt:lpstr>
      <vt:lpstr>LOS</vt:lpstr>
      <vt:lpstr>LOS1</vt:lpstr>
      <vt:lpstr>Longest Hospital Stay</vt:lpstr>
      <vt:lpstr>Shortest Hospital Stay</vt:lpstr>
      <vt:lpstr>Utilization Rate by State abs</vt:lpstr>
      <vt:lpstr>Quadrants of Efficiency</vt:lpstr>
      <vt:lpstr>Mortality Rate vs LOS</vt:lpstr>
      <vt:lpstr>Utilization Rate by State</vt:lpstr>
      <vt:lpstr>Efficiency_Index_Map</vt:lpstr>
      <vt:lpstr>Discharges per Inpatient Day</vt:lpstr>
      <vt:lpstr>ER Admition Analysis</vt:lpstr>
      <vt:lpstr>ER Admition Analysis table</vt:lpstr>
      <vt:lpstr>Inpatient Mortality Rate</vt:lpstr>
      <vt:lpstr>MOrtality Rate Visaul Table</vt:lpstr>
      <vt:lpstr>Dashboard</vt:lpstr>
      <vt:lpstr>State Level Data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Merkotan, Irina</dc:creator>
  <cp:lastModifiedBy>Merkotan, Irina</cp:lastModifiedBy>
  <cp:lastPrinted>2026-05-02T02:05:33Z</cp:lastPrinted>
  <dcterms:created xsi:type="dcterms:W3CDTF">2026-02-02T19:18:07Z</dcterms:created>
  <dcterms:modified xsi:type="dcterms:W3CDTF">2026-05-02T19:10:55Z</dcterms:modified>
</cp:coreProperties>
</file>